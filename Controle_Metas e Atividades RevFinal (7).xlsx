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mineracaoserraverde.sharepoint.com/sites/SVEnvironment/Documentos Compartilhados/06 - Atividade/60 - Planejamento Estratégico/Metas 2025/2. Planilha de Preenchimento/"/>
    </mc:Choice>
  </mc:AlternateContent>
  <xr:revisionPtr revIDLastSave="0" documentId="8_{1030506C-36CD-4FFA-A617-27D8CDF4BF71}" xr6:coauthVersionLast="47" xr6:coauthVersionMax="47" xr10:uidLastSave="{00000000-0000-0000-0000-000000000000}"/>
  <bookViews>
    <workbookView xWindow="-120" yWindow="-120" windowWidth="20730" windowHeight="11040" firstSheet="3" activeTab="2" xr2:uid="{746D68F4-ACF8-4C8E-8520-369FF2E10B07}"/>
  </bookViews>
  <sheets>
    <sheet name="Metas" sheetId="1" r:id="rId1"/>
    <sheet name="Atividades" sheetId="2" r:id="rId2"/>
    <sheet name="Dim_Responsaveis" sheetId="3" r:id="rId3"/>
    <sheet name="Dim_Areas" sheetId="4" r:id="rId4"/>
  </sheets>
  <definedNames>
    <definedName name="_xlnm._FilterDatabase" localSheetId="1" hidden="1">Atividades!$F$369:$F$369</definedName>
    <definedName name="_xlnm._FilterDatabase" localSheetId="0" hidden="1">Metas!$B$1:$N$93</definedName>
    <definedName name="SimNao">Metas!$Q$2:$Q$3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2" l="1"/>
  <c r="G597" i="2"/>
  <c r="G598" i="2"/>
  <c r="G586" i="2"/>
  <c r="G587" i="2"/>
  <c r="G588" i="2"/>
  <c r="G589" i="2"/>
  <c r="G590" i="2"/>
  <c r="G591" i="2"/>
  <c r="G592" i="2"/>
  <c r="G593" i="2"/>
  <c r="G594" i="2"/>
  <c r="G595" i="2"/>
  <c r="G596" i="2"/>
  <c r="G579" i="2"/>
  <c r="G580" i="2"/>
  <c r="G581" i="2"/>
  <c r="G582" i="2"/>
  <c r="G583" i="2"/>
  <c r="G584" i="2"/>
  <c r="G585" i="2"/>
  <c r="G563" i="2"/>
  <c r="G564" i="2"/>
  <c r="G565" i="2"/>
  <c r="G566" i="2"/>
  <c r="G567" i="2"/>
  <c r="G568" i="2"/>
  <c r="G569" i="2"/>
  <c r="G570" i="2"/>
  <c r="G571" i="2"/>
  <c r="G572" i="2"/>
  <c r="G573" i="2"/>
  <c r="G574" i="2"/>
  <c r="G575" i="2"/>
  <c r="G576" i="2"/>
  <c r="G577" i="2"/>
  <c r="G578" i="2"/>
  <c r="A584" i="2"/>
  <c r="A585" i="2"/>
  <c r="A586" i="2"/>
  <c r="A587" i="2"/>
  <c r="A588" i="2"/>
  <c r="A589" i="2"/>
  <c r="A590" i="2"/>
  <c r="A591" i="2"/>
  <c r="A592" i="2"/>
  <c r="A593" i="2"/>
  <c r="A594" i="2"/>
  <c r="A595" i="2"/>
  <c r="A596" i="2"/>
  <c r="A597" i="2"/>
  <c r="A598" i="2"/>
  <c r="M584" i="2"/>
  <c r="M585" i="2"/>
  <c r="M586" i="2"/>
  <c r="M587" i="2"/>
  <c r="M588" i="2"/>
  <c r="M589" i="2"/>
  <c r="M590" i="2"/>
  <c r="M591" i="2"/>
  <c r="M592" i="2"/>
  <c r="M593" i="2"/>
  <c r="M594" i="2"/>
  <c r="M595" i="2"/>
  <c r="M596" i="2"/>
  <c r="M597" i="2"/>
  <c r="M598" i="2"/>
  <c r="N584" i="2"/>
  <c r="N585" i="2"/>
  <c r="N586" i="2"/>
  <c r="N587" i="2"/>
  <c r="N588" i="2"/>
  <c r="N589" i="2"/>
  <c r="N590" i="2"/>
  <c r="N591" i="2"/>
  <c r="N592" i="2"/>
  <c r="N593" i="2"/>
  <c r="N594" i="2"/>
  <c r="N595" i="2"/>
  <c r="N596" i="2"/>
  <c r="N597" i="2"/>
  <c r="N598" i="2"/>
  <c r="A564" i="2"/>
  <c r="A565" i="2"/>
  <c r="A566" i="2"/>
  <c r="A567" i="2"/>
  <c r="A568" i="2"/>
  <c r="A569" i="2"/>
  <c r="A570" i="2"/>
  <c r="A571" i="2"/>
  <c r="A572" i="2"/>
  <c r="A573" i="2"/>
  <c r="A574" i="2"/>
  <c r="A575" i="2"/>
  <c r="A576" i="2"/>
  <c r="A577" i="2"/>
  <c r="A578" i="2"/>
  <c r="A579" i="2"/>
  <c r="A580" i="2"/>
  <c r="A581" i="2"/>
  <c r="A582" i="2"/>
  <c r="A583" i="2"/>
  <c r="M564" i="2"/>
  <c r="M565" i="2"/>
  <c r="M566" i="2"/>
  <c r="M567" i="2"/>
  <c r="M568" i="2"/>
  <c r="M569" i="2"/>
  <c r="M570" i="2"/>
  <c r="M571" i="2"/>
  <c r="M572" i="2"/>
  <c r="M573" i="2"/>
  <c r="M574" i="2"/>
  <c r="M575" i="2"/>
  <c r="M576" i="2"/>
  <c r="M577" i="2"/>
  <c r="M578" i="2"/>
  <c r="M579" i="2"/>
  <c r="M580" i="2"/>
  <c r="M581" i="2"/>
  <c r="M582" i="2"/>
  <c r="M583" i="2"/>
  <c r="N564" i="2"/>
  <c r="N565" i="2"/>
  <c r="N566" i="2"/>
  <c r="N567" i="2"/>
  <c r="N568" i="2"/>
  <c r="N569" i="2"/>
  <c r="N570" i="2"/>
  <c r="N571" i="2"/>
  <c r="N572" i="2"/>
  <c r="N573" i="2"/>
  <c r="N574" i="2"/>
  <c r="N575" i="2"/>
  <c r="N576" i="2"/>
  <c r="N577" i="2"/>
  <c r="N578" i="2"/>
  <c r="N579" i="2"/>
  <c r="N580" i="2"/>
  <c r="N581" i="2"/>
  <c r="N582" i="2"/>
  <c r="N583" i="2"/>
  <c r="A563" i="2"/>
  <c r="M563" i="2"/>
  <c r="N563" i="2"/>
  <c r="A109" i="1"/>
  <c r="D109" i="1"/>
  <c r="J109" i="1"/>
  <c r="K109" i="1"/>
  <c r="A105" i="1"/>
  <c r="A106" i="1"/>
  <c r="A107" i="1"/>
  <c r="A108" i="1"/>
  <c r="D105" i="1"/>
  <c r="D106" i="1"/>
  <c r="D573" i="2" s="1"/>
  <c r="D107" i="1"/>
  <c r="D108" i="1"/>
  <c r="J105" i="1"/>
  <c r="J106" i="1"/>
  <c r="J107" i="1"/>
  <c r="J108" i="1"/>
  <c r="K105" i="1"/>
  <c r="K106" i="1"/>
  <c r="K107" i="1"/>
  <c r="K108" i="1"/>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46" i="2"/>
  <c r="K104" i="1"/>
  <c r="A104" i="1"/>
  <c r="D104" i="1"/>
  <c r="D399" i="2" s="1"/>
  <c r="J104" i="1"/>
  <c r="D402" i="2"/>
  <c r="D407" i="2"/>
  <c r="D409" i="2"/>
  <c r="D3" i="1"/>
  <c r="D4" i="1"/>
  <c r="D5" i="1"/>
  <c r="D6" i="1"/>
  <c r="D7" i="1"/>
  <c r="D8" i="1"/>
  <c r="D9" i="1"/>
  <c r="D10" i="1"/>
  <c r="D11" i="1"/>
  <c r="D12" i="1"/>
  <c r="D555" i="2" s="1"/>
  <c r="D13" i="1"/>
  <c r="D518" i="2" s="1"/>
  <c r="D14" i="1"/>
  <c r="D527" i="2" s="1"/>
  <c r="D15" i="1"/>
  <c r="D530" i="2" s="1"/>
  <c r="D16" i="1"/>
  <c r="D533" i="2" s="1"/>
  <c r="D17" i="1"/>
  <c r="D545" i="2" s="1"/>
  <c r="D18" i="1"/>
  <c r="D19" i="1"/>
  <c r="D20" i="1"/>
  <c r="D21" i="1"/>
  <c r="D22" i="1"/>
  <c r="D23" i="1"/>
  <c r="D41" i="2" s="1"/>
  <c r="D24" i="1"/>
  <c r="D50" i="2" s="1"/>
  <c r="D25" i="1"/>
  <c r="D14" i="2" s="1"/>
  <c r="D26" i="1"/>
  <c r="D22" i="2" s="1"/>
  <c r="D27" i="1"/>
  <c r="D3" i="2" s="1"/>
  <c r="D28" i="1"/>
  <c r="D28" i="2" s="1"/>
  <c r="D29" i="1"/>
  <c r="D30" i="2" s="1"/>
  <c r="D30" i="1"/>
  <c r="D37" i="2" s="1"/>
  <c r="D31" i="1"/>
  <c r="D52" i="2" s="1"/>
  <c r="D32" i="1"/>
  <c r="D57" i="2" s="1"/>
  <c r="D33" i="1"/>
  <c r="D34" i="1"/>
  <c r="D64" i="2" s="1"/>
  <c r="D35" i="1"/>
  <c r="D124" i="2" s="1"/>
  <c r="D36" i="1"/>
  <c r="D132" i="2" s="1"/>
  <c r="D37" i="1"/>
  <c r="D135" i="2" s="1"/>
  <c r="D38" i="1"/>
  <c r="D145" i="2" s="1"/>
  <c r="D39" i="1"/>
  <c r="D73" i="2" s="1"/>
  <c r="D40" i="1"/>
  <c r="D76" i="2" s="1"/>
  <c r="D41" i="1"/>
  <c r="D81" i="2" s="1"/>
  <c r="D42" i="1"/>
  <c r="D85" i="2" s="1"/>
  <c r="D43" i="1"/>
  <c r="D147" i="2" s="1"/>
  <c r="D44" i="1"/>
  <c r="D148" i="2" s="1"/>
  <c r="D45" i="1"/>
  <c r="D149" i="2" s="1"/>
  <c r="D46" i="1"/>
  <c r="D151" i="2" s="1"/>
  <c r="D47" i="1"/>
  <c r="D154" i="2" s="1"/>
  <c r="D48" i="1"/>
  <c r="D88" i="2" s="1"/>
  <c r="D49" i="1"/>
  <c r="D90" i="2" s="1"/>
  <c r="D50" i="1"/>
  <c r="D94" i="2" s="1"/>
  <c r="D51" i="1"/>
  <c r="D119" i="2" s="1"/>
  <c r="D52" i="1"/>
  <c r="D116" i="2" s="1"/>
  <c r="D53" i="1"/>
  <c r="D326" i="2" s="1"/>
  <c r="D54" i="1"/>
  <c r="D336" i="2" s="1"/>
  <c r="D55" i="1"/>
  <c r="D345" i="2" s="1"/>
  <c r="D56" i="1"/>
  <c r="D103" i="2" s="1"/>
  <c r="D57" i="1"/>
  <c r="D108" i="2" s="1"/>
  <c r="D58" i="1"/>
  <c r="D102" i="2" s="1"/>
  <c r="D59" i="1"/>
  <c r="D97" i="2" s="1"/>
  <c r="D60" i="1"/>
  <c r="D170" i="2" s="1"/>
  <c r="D61" i="1"/>
  <c r="D198" i="2" s="1"/>
  <c r="D62" i="1"/>
  <c r="D160" i="2" s="1"/>
  <c r="D63" i="1"/>
  <c r="D177" i="2" s="1"/>
  <c r="D64" i="1"/>
  <c r="D204" i="2" s="1"/>
  <c r="D65" i="1"/>
  <c r="D179" i="2" s="1"/>
  <c r="D66" i="1"/>
  <c r="D162" i="2" s="1"/>
  <c r="D67" i="1"/>
  <c r="D181" i="2" s="1"/>
  <c r="D68" i="1"/>
  <c r="D165" i="2" s="1"/>
  <c r="D69" i="1"/>
  <c r="D187" i="2" s="1"/>
  <c r="D70" i="1"/>
  <c r="D71" i="1"/>
  <c r="D236" i="2" s="1"/>
  <c r="D72" i="1"/>
  <c r="D208" i="2" s="1"/>
  <c r="D73" i="1"/>
  <c r="D212" i="2" s="1"/>
  <c r="D74" i="1"/>
  <c r="D216" i="2" s="1"/>
  <c r="D75" i="1"/>
  <c r="D225" i="2" s="1"/>
  <c r="D76" i="1"/>
  <c r="D227" i="2" s="1"/>
  <c r="D77" i="1"/>
  <c r="D246" i="2" s="1"/>
  <c r="D78" i="1"/>
  <c r="D250" i="2" s="1"/>
  <c r="D79" i="1"/>
  <c r="D251" i="2" s="1"/>
  <c r="D80" i="1"/>
  <c r="D305" i="2" s="1"/>
  <c r="D81" i="1"/>
  <c r="D255" i="2" s="1"/>
  <c r="D82" i="1"/>
  <c r="D261" i="2" s="1"/>
  <c r="D83" i="1"/>
  <c r="D301" i="2" s="1"/>
  <c r="D84" i="1"/>
  <c r="D265" i="2" s="1"/>
  <c r="D85" i="1"/>
  <c r="D311" i="2" s="1"/>
  <c r="D86" i="1"/>
  <c r="D316" i="2" s="1"/>
  <c r="D87" i="1"/>
  <c r="D270" i="2" s="1"/>
  <c r="D88" i="1"/>
  <c r="D267" i="2" s="1"/>
  <c r="D89" i="1"/>
  <c r="D275" i="2" s="1"/>
  <c r="D90" i="1"/>
  <c r="D284" i="2" s="1"/>
  <c r="D91" i="1"/>
  <c r="D92" i="1"/>
  <c r="D340" i="2" s="1"/>
  <c r="D93" i="1"/>
  <c r="D339" i="2" s="1"/>
  <c r="D94" i="1"/>
  <c r="D341" i="2" s="1"/>
  <c r="D95" i="1"/>
  <c r="D342" i="2" s="1"/>
  <c r="D96" i="1"/>
  <c r="D352" i="2" s="1"/>
  <c r="D97" i="1"/>
  <c r="D98" i="1"/>
  <c r="D99" i="1"/>
  <c r="D100" i="1"/>
  <c r="D101" i="1"/>
  <c r="D102" i="1"/>
  <c r="D103" i="1"/>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16" i="2"/>
  <c r="N552" i="2"/>
  <c r="K12" i="1"/>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3" i="2"/>
  <c r="N554" i="2"/>
  <c r="N555" i="2"/>
  <c r="N556" i="2"/>
  <c r="N557" i="2"/>
  <c r="N558" i="2"/>
  <c r="N559" i="2"/>
  <c r="N560" i="2"/>
  <c r="N561" i="2"/>
  <c r="N562" i="2"/>
  <c r="N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16" i="2"/>
  <c r="D557" i="2"/>
  <c r="D560"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16"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474" i="2"/>
  <c r="G442" i="2"/>
  <c r="G441" i="2"/>
  <c r="G440" i="2"/>
  <c r="G439" i="2"/>
  <c r="G443" i="2"/>
  <c r="G444" i="2"/>
  <c r="G445"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47" i="2"/>
  <c r="G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47" i="2"/>
  <c r="N446"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K103" i="1"/>
  <c r="J103" i="1"/>
  <c r="A103" i="1"/>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57" i="2"/>
  <c r="N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56" i="2"/>
  <c r="A398" i="2"/>
  <c r="K97" i="1"/>
  <c r="K98" i="1"/>
  <c r="K99" i="1"/>
  <c r="K100" i="1"/>
  <c r="K101" i="1"/>
  <c r="K102" i="1"/>
  <c r="J100" i="1"/>
  <c r="J101" i="1"/>
  <c r="J102" i="1"/>
  <c r="J97" i="1"/>
  <c r="J98" i="1"/>
  <c r="J99" i="1"/>
  <c r="A97" i="1"/>
  <c r="A98" i="1"/>
  <c r="A99" i="1"/>
  <c r="A100" i="1"/>
  <c r="A101" i="1"/>
  <c r="A102" i="1"/>
  <c r="M50" i="2"/>
  <c r="M51" i="2"/>
  <c r="D2" i="1"/>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88" i="2"/>
  <c r="A389" i="2"/>
  <c r="A390" i="2"/>
  <c r="A391" i="2"/>
  <c r="A392" i="2"/>
  <c r="A393" i="2"/>
  <c r="A394" i="2"/>
  <c r="A395" i="2"/>
  <c r="A396" i="2"/>
  <c r="A397" i="2"/>
  <c r="A343" i="2"/>
  <c r="A344" i="2"/>
  <c r="A345" i="2"/>
  <c r="A346" i="2"/>
  <c r="A347" i="2"/>
  <c r="A348" i="2"/>
  <c r="A349" i="2"/>
  <c r="A350" i="2"/>
  <c r="A351" i="2"/>
  <c r="A352" i="2"/>
  <c r="A353" i="2"/>
  <c r="A354" i="2"/>
  <c r="A355"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 i="2"/>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N2" i="2"/>
  <c r="K96" i="1"/>
  <c r="J96" i="1"/>
  <c r="G352" i="2"/>
  <c r="G353" i="2"/>
  <c r="G354" i="2"/>
  <c r="G355" i="2"/>
  <c r="M352" i="2"/>
  <c r="M353" i="2"/>
  <c r="M354" i="2"/>
  <c r="M355" i="2"/>
  <c r="N352" i="2"/>
  <c r="N353" i="2"/>
  <c r="N354" i="2"/>
  <c r="N355" i="2"/>
  <c r="N343" i="2"/>
  <c r="N344" i="2"/>
  <c r="N345" i="2"/>
  <c r="N346" i="2"/>
  <c r="N347" i="2"/>
  <c r="N348" i="2"/>
  <c r="N349" i="2"/>
  <c r="N350" i="2"/>
  <c r="N351" i="2"/>
  <c r="M343" i="2"/>
  <c r="M344" i="2"/>
  <c r="M345" i="2"/>
  <c r="M346" i="2"/>
  <c r="M347" i="2"/>
  <c r="M348" i="2"/>
  <c r="M349" i="2"/>
  <c r="M350" i="2"/>
  <c r="M351" i="2"/>
  <c r="G343" i="2"/>
  <c r="G344" i="2"/>
  <c r="G345" i="2"/>
  <c r="G346" i="2"/>
  <c r="G347" i="2"/>
  <c r="G348" i="2"/>
  <c r="G349" i="2"/>
  <c r="G350" i="2"/>
  <c r="G351" i="2"/>
  <c r="D350" i="2"/>
  <c r="D351" i="2"/>
  <c r="D343" i="2"/>
  <c r="G128" i="2"/>
  <c r="N397" i="2"/>
  <c r="N396" i="2"/>
  <c r="N395" i="2"/>
  <c r="N394" i="2"/>
  <c r="N393" i="2"/>
  <c r="N392" i="2"/>
  <c r="N391" i="2"/>
  <c r="N390" i="2"/>
  <c r="N389" i="2"/>
  <c r="N388" i="2"/>
  <c r="M398" i="2"/>
  <c r="G398" i="2"/>
  <c r="M397" i="2"/>
  <c r="G397" i="2"/>
  <c r="M396" i="2"/>
  <c r="G396" i="2"/>
  <c r="M395" i="2"/>
  <c r="G395" i="2"/>
  <c r="M394" i="2"/>
  <c r="G394" i="2"/>
  <c r="M393" i="2"/>
  <c r="G393" i="2"/>
  <c r="M392" i="2"/>
  <c r="G392" i="2"/>
  <c r="M391" i="2"/>
  <c r="G391" i="2"/>
  <c r="M390" i="2"/>
  <c r="G390" i="2"/>
  <c r="M389" i="2"/>
  <c r="G389" i="2"/>
  <c r="M388" i="2"/>
  <c r="G388" i="2"/>
  <c r="G340" i="2"/>
  <c r="G341" i="2"/>
  <c r="G342" i="2"/>
  <c r="N341" i="2"/>
  <c r="N342" i="2"/>
  <c r="M342" i="2"/>
  <c r="J342" i="2" s="1"/>
  <c r="J92" i="1"/>
  <c r="J93" i="1"/>
  <c r="J94" i="1"/>
  <c r="J95" i="1"/>
  <c r="K95" i="1"/>
  <c r="K94" i="1"/>
  <c r="M341" i="2"/>
  <c r="J341" i="2" s="1"/>
  <c r="K2" i="1"/>
  <c r="K3" i="1"/>
  <c r="K4" i="1"/>
  <c r="K5" i="1"/>
  <c r="K6" i="1"/>
  <c r="K7" i="1"/>
  <c r="K8" i="1"/>
  <c r="K9" i="1"/>
  <c r="K10" i="1"/>
  <c r="K11"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G283" i="2"/>
  <c r="M283" i="2"/>
  <c r="N283" i="2"/>
  <c r="G284" i="2"/>
  <c r="M284" i="2"/>
  <c r="N284" i="2"/>
  <c r="G285" i="2"/>
  <c r="M285" i="2"/>
  <c r="N285" i="2"/>
  <c r="G286" i="2"/>
  <c r="M286" i="2"/>
  <c r="N286" i="2"/>
  <c r="G287" i="2"/>
  <c r="M287" i="2"/>
  <c r="N287" i="2"/>
  <c r="G288" i="2"/>
  <c r="M288" i="2"/>
  <c r="N288" i="2"/>
  <c r="G289" i="2"/>
  <c r="M289" i="2"/>
  <c r="N289" i="2"/>
  <c r="G290" i="2"/>
  <c r="M290" i="2"/>
  <c r="N290"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D60" i="2"/>
  <c r="D61" i="2"/>
  <c r="D62" i="2"/>
  <c r="D63" i="2"/>
  <c r="D69" i="2"/>
  <c r="D71" i="2"/>
  <c r="D129" i="2"/>
  <c r="D130" i="2"/>
  <c r="D131" i="2"/>
  <c r="D141" i="2"/>
  <c r="D142" i="2"/>
  <c r="D243" i="2"/>
  <c r="D244" i="2"/>
  <c r="D245" i="2"/>
  <c r="D293" i="2"/>
  <c r="D294" i="2"/>
  <c r="D300" i="2"/>
  <c r="D325" i="2"/>
  <c r="D333" i="2"/>
  <c r="D334" i="2"/>
  <c r="D335" i="2"/>
  <c r="G2"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6" i="2"/>
  <c r="G7" i="2"/>
  <c r="G8" i="2"/>
  <c r="G9" i="2"/>
  <c r="G10" i="2"/>
  <c r="G11" i="2"/>
  <c r="G12" i="2"/>
  <c r="G13" i="2"/>
  <c r="G14" i="2"/>
  <c r="G15" i="2"/>
  <c r="G16" i="2"/>
  <c r="G3" i="2"/>
  <c r="G4" i="2"/>
  <c r="G5" i="2"/>
  <c r="M207" i="2"/>
  <c r="M208" i="2"/>
  <c r="M209" i="2"/>
  <c r="M210"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J147" i="2" s="1"/>
  <c r="M148" i="2"/>
  <c r="J148" i="2" s="1"/>
  <c r="M149" i="2"/>
  <c r="J149" i="2" s="1"/>
  <c r="M150" i="2"/>
  <c r="M151" i="2"/>
  <c r="M152" i="2"/>
  <c r="M153" i="2"/>
  <c r="J153" i="2" s="1"/>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J340" i="2" s="1"/>
  <c r="M3" i="2"/>
  <c r="M4" i="2"/>
  <c r="M5" i="2"/>
  <c r="M6" i="2"/>
  <c r="M7" i="2"/>
  <c r="M8" i="2"/>
  <c r="M9" i="2"/>
  <c r="M2" i="2"/>
  <c r="D550" i="2" l="1"/>
  <c r="D549" i="2"/>
  <c r="D107" i="2"/>
  <c r="D106" i="2"/>
  <c r="J578" i="2"/>
  <c r="D401" i="2"/>
  <c r="D58" i="2"/>
  <c r="D70" i="2"/>
  <c r="D59" i="2"/>
  <c r="D68" i="2"/>
  <c r="D56" i="2"/>
  <c r="D65" i="2"/>
  <c r="D105" i="2"/>
  <c r="D92" i="2"/>
  <c r="D295" i="2"/>
  <c r="D591" i="2"/>
  <c r="D592" i="2"/>
  <c r="D290" i="2"/>
  <c r="D584" i="2"/>
  <c r="D585" i="2"/>
  <c r="D586" i="2"/>
  <c r="D580" i="2"/>
  <c r="D581" i="2"/>
  <c r="D582" i="2"/>
  <c r="D583" i="2"/>
  <c r="D563" i="2"/>
  <c r="D91" i="2"/>
  <c r="D89" i="2"/>
  <c r="D272" i="2"/>
  <c r="D579" i="2"/>
  <c r="D281" i="2"/>
  <c r="D578" i="2"/>
  <c r="D566" i="2"/>
  <c r="D231" i="2"/>
  <c r="D565" i="2"/>
  <c r="D299" i="2"/>
  <c r="D230" i="2"/>
  <c r="D229" i="2"/>
  <c r="D193" i="2"/>
  <c r="D570" i="2"/>
  <c r="D271" i="2"/>
  <c r="D72" i="2"/>
  <c r="D139" i="2"/>
  <c r="D134" i="2"/>
  <c r="D247" i="2"/>
  <c r="D249" i="2"/>
  <c r="D248" i="2"/>
  <c r="D133" i="2"/>
  <c r="D410" i="2"/>
  <c r="D315" i="2"/>
  <c r="D197" i="2"/>
  <c r="D104" i="2"/>
  <c r="D314" i="2"/>
  <c r="D196" i="2"/>
  <c r="D561" i="2"/>
  <c r="D567" i="2"/>
  <c r="D313" i="2"/>
  <c r="D100" i="2"/>
  <c r="D554" i="2"/>
  <c r="D564" i="2"/>
  <c r="D195" i="2"/>
  <c r="D101" i="2"/>
  <c r="D153" i="2"/>
  <c r="D553" i="2"/>
  <c r="D23" i="2"/>
  <c r="D144" i="2"/>
  <c r="D552" i="2"/>
  <c r="D194" i="2"/>
  <c r="D143" i="2"/>
  <c r="D551" i="2"/>
  <c r="J177" i="2"/>
  <c r="J91" i="2"/>
  <c r="J89" i="2"/>
  <c r="J269" i="2"/>
  <c r="J105" i="2"/>
  <c r="D259" i="2"/>
  <c r="D258" i="2"/>
  <c r="D572" i="2"/>
  <c r="D590" i="2"/>
  <c r="D587" i="2"/>
  <c r="D175" i="2"/>
  <c r="D548" i="2"/>
  <c r="D547" i="2"/>
  <c r="D308" i="2"/>
  <c r="D127" i="2"/>
  <c r="D256" i="2"/>
  <c r="D203" i="2"/>
  <c r="D84" i="2"/>
  <c r="D597" i="2"/>
  <c r="D304" i="2"/>
  <c r="D253" i="2"/>
  <c r="D201" i="2"/>
  <c r="D123" i="2"/>
  <c r="D82" i="2"/>
  <c r="D344" i="2"/>
  <c r="D528" i="2"/>
  <c r="D571" i="2"/>
  <c r="D596" i="2"/>
  <c r="D588" i="2"/>
  <c r="D180" i="2"/>
  <c r="D176" i="2"/>
  <c r="D173" i="2"/>
  <c r="D87" i="2"/>
  <c r="D307" i="2"/>
  <c r="D126" i="2"/>
  <c r="D125" i="2"/>
  <c r="D202" i="2"/>
  <c r="D529" i="2"/>
  <c r="D303" i="2"/>
  <c r="D526" i="2"/>
  <c r="D595" i="2"/>
  <c r="D178" i="2"/>
  <c r="D263" i="2"/>
  <c r="D260" i="2"/>
  <c r="D310" i="2"/>
  <c r="D228" i="2"/>
  <c r="D577" i="2"/>
  <c r="D309" i="2"/>
  <c r="D349" i="2"/>
  <c r="D546" i="2"/>
  <c r="D576" i="2"/>
  <c r="D257" i="2"/>
  <c r="D205" i="2"/>
  <c r="D348" i="2"/>
  <c r="D544" i="2"/>
  <c r="D575" i="2"/>
  <c r="D86" i="2"/>
  <c r="D347" i="2"/>
  <c r="D574" i="2"/>
  <c r="D306" i="2"/>
  <c r="D158" i="2"/>
  <c r="D44" i="2"/>
  <c r="D346" i="2"/>
  <c r="D532" i="2"/>
  <c r="D254" i="2"/>
  <c r="D252" i="2"/>
  <c r="D200" i="2"/>
  <c r="D122" i="2"/>
  <c r="D75" i="2"/>
  <c r="D302" i="2"/>
  <c r="D199" i="2"/>
  <c r="D146" i="2"/>
  <c r="D109" i="2"/>
  <c r="D74" i="2"/>
  <c r="D523" i="2"/>
  <c r="D569" i="2"/>
  <c r="D594" i="2"/>
  <c r="D589" i="2"/>
  <c r="D264" i="2"/>
  <c r="D312" i="2"/>
  <c r="D174" i="2"/>
  <c r="D128" i="2"/>
  <c r="D169" i="2"/>
  <c r="D159" i="2"/>
  <c r="D539" i="2"/>
  <c r="D598" i="2"/>
  <c r="D516" i="2"/>
  <c r="D517" i="2"/>
  <c r="D568" i="2"/>
  <c r="D593" i="2"/>
  <c r="J588" i="2"/>
  <c r="J596" i="2"/>
  <c r="J581" i="2"/>
  <c r="J15" i="2"/>
  <c r="J164" i="2"/>
  <c r="J579" i="2"/>
  <c r="J161" i="2"/>
  <c r="J121" i="2"/>
  <c r="J180" i="2"/>
  <c r="J570" i="2"/>
  <c r="J23" i="2"/>
  <c r="J205" i="2"/>
  <c r="J157" i="2"/>
  <c r="J109" i="2"/>
  <c r="J433" i="2"/>
  <c r="J461" i="2"/>
  <c r="J515" i="2"/>
  <c r="J516" i="2"/>
  <c r="J531" i="2"/>
  <c r="J571" i="2"/>
  <c r="J597" i="2"/>
  <c r="J589" i="2"/>
  <c r="J577" i="2"/>
  <c r="J569" i="2"/>
  <c r="J595" i="2"/>
  <c r="J587" i="2"/>
  <c r="J576" i="2"/>
  <c r="J568" i="2"/>
  <c r="J594" i="2"/>
  <c r="J586" i="2"/>
  <c r="J567" i="2"/>
  <c r="J593" i="2"/>
  <c r="J585" i="2"/>
  <c r="J388" i="2"/>
  <c r="J332" i="2"/>
  <c r="J168" i="2"/>
  <c r="J582" i="2"/>
  <c r="J574" i="2"/>
  <c r="J566" i="2"/>
  <c r="J592" i="2"/>
  <c r="J584" i="2"/>
  <c r="J201" i="2"/>
  <c r="J573" i="2"/>
  <c r="J565" i="2"/>
  <c r="J193" i="2"/>
  <c r="J274" i="2"/>
  <c r="J266" i="2"/>
  <c r="J258" i="2"/>
  <c r="J250" i="2"/>
  <c r="J134" i="2"/>
  <c r="J118" i="2"/>
  <c r="J102" i="2"/>
  <c r="J426" i="2"/>
  <c r="J410" i="2"/>
  <c r="J474" i="2"/>
  <c r="J583" i="2"/>
  <c r="J575" i="2"/>
  <c r="J563" i="2"/>
  <c r="J598" i="2"/>
  <c r="J590" i="2"/>
  <c r="J298" i="2"/>
  <c r="J336" i="2"/>
  <c r="J562" i="2"/>
  <c r="J215" i="2"/>
  <c r="J99" i="2"/>
  <c r="J83" i="2"/>
  <c r="J49" i="2"/>
  <c r="J415" i="2"/>
  <c r="J580" i="2"/>
  <c r="J572" i="2"/>
  <c r="J282" i="2"/>
  <c r="J242" i="2"/>
  <c r="J226" i="2"/>
  <c r="J206" i="2"/>
  <c r="J44" i="2"/>
  <c r="J312" i="2"/>
  <c r="J172" i="2"/>
  <c r="J140" i="2"/>
  <c r="J387" i="2"/>
  <c r="J498" i="2"/>
  <c r="J303" i="2"/>
  <c r="J231" i="2"/>
  <c r="J75" i="2"/>
  <c r="J59" i="2"/>
  <c r="J33" i="2"/>
  <c r="J262" i="2"/>
  <c r="J254" i="2"/>
  <c r="J246" i="2"/>
  <c r="J146" i="2"/>
  <c r="J130" i="2"/>
  <c r="J290" i="2"/>
  <c r="J369" i="2"/>
  <c r="J446" i="2"/>
  <c r="J438" i="2"/>
  <c r="J422" i="2"/>
  <c r="J447" i="2"/>
  <c r="J466" i="2"/>
  <c r="J355" i="2"/>
  <c r="J473" i="2"/>
  <c r="J457" i="2"/>
  <c r="J543" i="2"/>
  <c r="J527" i="2"/>
  <c r="J375" i="2"/>
  <c r="J510" i="2"/>
  <c r="J550" i="2"/>
  <c r="J2" i="2"/>
  <c r="J316" i="2"/>
  <c r="J339" i="2"/>
  <c r="J307" i="2"/>
  <c r="J219" i="2"/>
  <c r="J183" i="2"/>
  <c r="J95" i="2"/>
  <c r="J87" i="2"/>
  <c r="J79" i="2"/>
  <c r="J71" i="2"/>
  <c r="J63" i="2"/>
  <c r="J55" i="2"/>
  <c r="J37" i="2"/>
  <c r="J29" i="2"/>
  <c r="J393" i="2"/>
  <c r="J351" i="2"/>
  <c r="J493" i="2"/>
  <c r="J564" i="2"/>
  <c r="J591" i="2"/>
  <c r="J356" i="2"/>
  <c r="J9" i="2"/>
  <c r="J8" i="2"/>
  <c r="J7" i="2"/>
  <c r="J6" i="2"/>
  <c r="J5" i="2"/>
  <c r="J4" i="2"/>
  <c r="J3" i="2"/>
  <c r="J338" i="2"/>
  <c r="J337" i="2"/>
  <c r="J335" i="2"/>
  <c r="J334" i="2"/>
  <c r="J333" i="2"/>
  <c r="J331" i="2"/>
  <c r="J330" i="2"/>
  <c r="J329" i="2"/>
  <c r="J328" i="2"/>
  <c r="J327" i="2"/>
  <c r="J326" i="2"/>
  <c r="J325" i="2"/>
  <c r="J324" i="2"/>
  <c r="J323" i="2"/>
  <c r="J322" i="2"/>
  <c r="J321" i="2"/>
  <c r="J320" i="2"/>
  <c r="J319" i="2"/>
  <c r="J318" i="2"/>
  <c r="J317" i="2"/>
  <c r="J315" i="2"/>
  <c r="J314" i="2"/>
  <c r="J313" i="2"/>
  <c r="J311" i="2"/>
  <c r="J310" i="2"/>
  <c r="J309" i="2"/>
  <c r="J308" i="2"/>
  <c r="J306" i="2"/>
  <c r="J305" i="2"/>
  <c r="J304" i="2"/>
  <c r="J302" i="2"/>
  <c r="J301" i="2"/>
  <c r="J300" i="2"/>
  <c r="J299" i="2"/>
  <c r="J297" i="2"/>
  <c r="J296" i="2"/>
  <c r="J295" i="2"/>
  <c r="J294" i="2"/>
  <c r="J293" i="2"/>
  <c r="J292" i="2"/>
  <c r="J291" i="2"/>
  <c r="J281" i="2"/>
  <c r="J280" i="2"/>
  <c r="J279" i="2"/>
  <c r="J278" i="2"/>
  <c r="J277" i="2"/>
  <c r="J276" i="2"/>
  <c r="J275" i="2"/>
  <c r="J273" i="2"/>
  <c r="J272" i="2"/>
  <c r="J271" i="2"/>
  <c r="J270" i="2"/>
  <c r="J268" i="2"/>
  <c r="J267" i="2"/>
  <c r="J265" i="2"/>
  <c r="J264" i="2"/>
  <c r="J263" i="2"/>
  <c r="J261" i="2"/>
  <c r="J260" i="2"/>
  <c r="J259" i="2"/>
  <c r="J257" i="2"/>
  <c r="J256" i="2"/>
  <c r="J255" i="2"/>
  <c r="J253" i="2"/>
  <c r="J252" i="2"/>
  <c r="J251" i="2"/>
  <c r="J249" i="2"/>
  <c r="J248" i="2"/>
  <c r="J247" i="2"/>
  <c r="J245" i="2"/>
  <c r="J244" i="2"/>
  <c r="J243" i="2"/>
  <c r="J241" i="2"/>
  <c r="J240" i="2"/>
  <c r="J239" i="2"/>
  <c r="J238" i="2"/>
  <c r="J237" i="2"/>
  <c r="J236" i="2"/>
  <c r="J235" i="2"/>
  <c r="J234" i="2"/>
  <c r="J233" i="2"/>
  <c r="J232" i="2"/>
  <c r="J230" i="2"/>
  <c r="J229" i="2"/>
  <c r="J228" i="2"/>
  <c r="J227" i="2"/>
  <c r="J225" i="2"/>
  <c r="J224" i="2"/>
  <c r="J223" i="2"/>
  <c r="J222" i="2"/>
  <c r="J221" i="2"/>
  <c r="J220" i="2"/>
  <c r="J218" i="2"/>
  <c r="J217" i="2"/>
  <c r="J216" i="2"/>
  <c r="J214" i="2"/>
  <c r="J213" i="2"/>
  <c r="J212" i="2"/>
  <c r="J211" i="2"/>
  <c r="J204" i="2"/>
  <c r="J203" i="2"/>
  <c r="J202" i="2"/>
  <c r="J200" i="2"/>
  <c r="J199" i="2"/>
  <c r="J198" i="2"/>
  <c r="J197" i="2"/>
  <c r="J196" i="2"/>
  <c r="J195" i="2"/>
  <c r="J194" i="2"/>
  <c r="J192" i="2"/>
  <c r="J191" i="2"/>
  <c r="J190" i="2"/>
  <c r="J189" i="2"/>
  <c r="J188" i="2"/>
  <c r="J187" i="2"/>
  <c r="J186" i="2"/>
  <c r="J185" i="2"/>
  <c r="J184" i="2"/>
  <c r="J182" i="2"/>
  <c r="J181" i="2"/>
  <c r="J179" i="2"/>
  <c r="J178" i="2"/>
  <c r="J176" i="2"/>
  <c r="J175" i="2"/>
  <c r="J174" i="2"/>
  <c r="J173" i="2"/>
  <c r="J171" i="2"/>
  <c r="J170" i="2"/>
  <c r="J169" i="2"/>
  <c r="J167" i="2"/>
  <c r="J166" i="2"/>
  <c r="J165" i="2"/>
  <c r="J163" i="2"/>
  <c r="J162" i="2"/>
  <c r="J160" i="2"/>
  <c r="J159" i="2"/>
  <c r="J158" i="2"/>
  <c r="J156" i="2"/>
  <c r="J155" i="2"/>
  <c r="J154" i="2"/>
  <c r="J152" i="2"/>
  <c r="J151" i="2"/>
  <c r="J150" i="2"/>
  <c r="J145" i="2"/>
  <c r="J144" i="2"/>
  <c r="J143" i="2"/>
  <c r="J142" i="2"/>
  <c r="J141" i="2"/>
  <c r="J139" i="2"/>
  <c r="J138" i="2"/>
  <c r="J137" i="2"/>
  <c r="J136" i="2"/>
  <c r="J135" i="2"/>
  <c r="J133" i="2"/>
  <c r="J132" i="2"/>
  <c r="J131" i="2"/>
  <c r="J129" i="2"/>
  <c r="J128" i="2"/>
  <c r="J127" i="2"/>
  <c r="J126" i="2"/>
  <c r="J125" i="2"/>
  <c r="J124" i="2"/>
  <c r="J123" i="2"/>
  <c r="J122" i="2"/>
  <c r="J120" i="2"/>
  <c r="J119" i="2"/>
  <c r="J117" i="2"/>
  <c r="J116" i="2"/>
  <c r="J115" i="2"/>
  <c r="J114" i="2"/>
  <c r="J113" i="2"/>
  <c r="J112" i="2"/>
  <c r="J111" i="2"/>
  <c r="J110" i="2"/>
  <c r="J108" i="2"/>
  <c r="J107" i="2"/>
  <c r="J106" i="2"/>
  <c r="J104" i="2"/>
  <c r="J103" i="2"/>
  <c r="J101" i="2"/>
  <c r="J100" i="2"/>
  <c r="J98" i="2"/>
  <c r="J97" i="2"/>
  <c r="J96" i="2"/>
  <c r="J94" i="2"/>
  <c r="J93" i="2"/>
  <c r="J92" i="2"/>
  <c r="J90" i="2"/>
  <c r="J88" i="2"/>
  <c r="J86" i="2"/>
  <c r="J85" i="2"/>
  <c r="J84" i="2"/>
  <c r="J82" i="2"/>
  <c r="J81" i="2"/>
  <c r="J80" i="2"/>
  <c r="J78" i="2"/>
  <c r="J77" i="2"/>
  <c r="J76" i="2"/>
  <c r="J74" i="2"/>
  <c r="J73" i="2"/>
  <c r="J72" i="2"/>
  <c r="J70" i="2"/>
  <c r="J69" i="2"/>
  <c r="J68" i="2"/>
  <c r="J67" i="2"/>
  <c r="J66" i="2"/>
  <c r="J65" i="2"/>
  <c r="J64" i="2"/>
  <c r="J62" i="2"/>
  <c r="J61" i="2"/>
  <c r="J60" i="2"/>
  <c r="J58" i="2"/>
  <c r="J57" i="2"/>
  <c r="J56" i="2"/>
  <c r="J54" i="2"/>
  <c r="J53" i="2"/>
  <c r="J52" i="2"/>
  <c r="J48" i="2"/>
  <c r="J47" i="2"/>
  <c r="J46" i="2"/>
  <c r="J45" i="2"/>
  <c r="J43" i="2"/>
  <c r="J42" i="2"/>
  <c r="J41" i="2"/>
  <c r="J40" i="2"/>
  <c r="J39" i="2"/>
  <c r="J38" i="2"/>
  <c r="J36" i="2"/>
  <c r="J35" i="2"/>
  <c r="J34" i="2"/>
  <c r="J32" i="2"/>
  <c r="J31" i="2"/>
  <c r="J30" i="2"/>
  <c r="J28" i="2"/>
  <c r="J27" i="2"/>
  <c r="J26" i="2"/>
  <c r="J25" i="2"/>
  <c r="J24" i="2"/>
  <c r="J22" i="2"/>
  <c r="J21" i="2"/>
  <c r="J20" i="2"/>
  <c r="J19" i="2"/>
  <c r="J18" i="2"/>
  <c r="J17" i="2"/>
  <c r="J16" i="2"/>
  <c r="J14" i="2"/>
  <c r="J13" i="2"/>
  <c r="J12" i="2"/>
  <c r="J11" i="2"/>
  <c r="J10" i="2"/>
  <c r="J210" i="2"/>
  <c r="J209" i="2"/>
  <c r="J208" i="2"/>
  <c r="J207" i="2"/>
  <c r="J289" i="2"/>
  <c r="J288" i="2"/>
  <c r="J287" i="2"/>
  <c r="J286" i="2"/>
  <c r="J285" i="2"/>
  <c r="J284" i="2"/>
  <c r="J283" i="2"/>
  <c r="J389" i="2"/>
  <c r="J390" i="2"/>
  <c r="J391" i="2"/>
  <c r="J392" i="2"/>
  <c r="J394" i="2"/>
  <c r="J395" i="2"/>
  <c r="J396" i="2"/>
  <c r="J397" i="2"/>
  <c r="J398" i="2"/>
  <c r="J350" i="2"/>
  <c r="J349" i="2"/>
  <c r="J348" i="2"/>
  <c r="J347" i="2"/>
  <c r="J346" i="2"/>
  <c r="J345" i="2"/>
  <c r="J344" i="2"/>
  <c r="J343" i="2"/>
  <c r="J354" i="2"/>
  <c r="J353" i="2"/>
  <c r="J352" i="2"/>
  <c r="J51" i="2"/>
  <c r="J50" i="2"/>
  <c r="J386" i="2"/>
  <c r="J385" i="2"/>
  <c r="J384" i="2"/>
  <c r="J383" i="2"/>
  <c r="J382" i="2"/>
  <c r="J381" i="2"/>
  <c r="J380" i="2"/>
  <c r="J379" i="2"/>
  <c r="J378" i="2"/>
  <c r="J377" i="2"/>
  <c r="J376" i="2"/>
  <c r="J374" i="2"/>
  <c r="J373" i="2"/>
  <c r="J372" i="2"/>
  <c r="J371" i="2"/>
  <c r="J370" i="2"/>
  <c r="J368" i="2"/>
  <c r="J367" i="2"/>
  <c r="J366" i="2"/>
  <c r="J365" i="2"/>
  <c r="J364" i="2"/>
  <c r="J363" i="2"/>
  <c r="J362" i="2"/>
  <c r="J361" i="2"/>
  <c r="J360" i="2"/>
  <c r="J359" i="2"/>
  <c r="J358" i="2"/>
  <c r="J357" i="2"/>
  <c r="J445" i="2"/>
  <c r="J444" i="2"/>
  <c r="J443" i="2"/>
  <c r="J442" i="2"/>
  <c r="J441" i="2"/>
  <c r="J440" i="2"/>
  <c r="J439" i="2"/>
  <c r="J437" i="2"/>
  <c r="J436" i="2"/>
  <c r="J435" i="2"/>
  <c r="J434" i="2"/>
  <c r="J432" i="2"/>
  <c r="J431" i="2"/>
  <c r="J430" i="2"/>
  <c r="J429" i="2"/>
  <c r="J428" i="2"/>
  <c r="J427" i="2"/>
  <c r="J425" i="2"/>
  <c r="J424" i="2"/>
  <c r="J423" i="2"/>
  <c r="J421" i="2"/>
  <c r="J420" i="2"/>
  <c r="J419" i="2"/>
  <c r="J418" i="2"/>
  <c r="J417" i="2"/>
  <c r="J416" i="2"/>
  <c r="J414" i="2"/>
  <c r="J413" i="2"/>
  <c r="J412" i="2"/>
  <c r="J411" i="2"/>
  <c r="J409" i="2"/>
  <c r="J408" i="2"/>
  <c r="J407" i="2"/>
  <c r="J406" i="2"/>
  <c r="J405" i="2"/>
  <c r="J404" i="2"/>
  <c r="J403" i="2"/>
  <c r="J402" i="2"/>
  <c r="J401" i="2"/>
  <c r="J400" i="2"/>
  <c r="J399" i="2"/>
  <c r="J472" i="2"/>
  <c r="J471" i="2"/>
  <c r="J470" i="2"/>
  <c r="J469" i="2"/>
  <c r="J468" i="2"/>
  <c r="J467" i="2"/>
  <c r="J465" i="2"/>
  <c r="J464" i="2"/>
  <c r="J463" i="2"/>
  <c r="J462" i="2"/>
  <c r="J460" i="2"/>
  <c r="J459" i="2"/>
  <c r="J458" i="2"/>
  <c r="J456" i="2"/>
  <c r="J455" i="2"/>
  <c r="J454" i="2"/>
  <c r="J453" i="2"/>
  <c r="J452" i="2"/>
  <c r="J451" i="2"/>
  <c r="J450" i="2"/>
  <c r="J449" i="2"/>
  <c r="J448" i="2"/>
  <c r="J514" i="2"/>
  <c r="J513" i="2"/>
  <c r="J512" i="2"/>
  <c r="J511" i="2"/>
  <c r="J509" i="2"/>
  <c r="J508" i="2"/>
  <c r="J507" i="2"/>
  <c r="J506" i="2"/>
  <c r="J505" i="2"/>
  <c r="J504" i="2"/>
  <c r="J503" i="2"/>
  <c r="J502" i="2"/>
  <c r="J501" i="2"/>
  <c r="J500" i="2"/>
  <c r="J499" i="2"/>
  <c r="J497" i="2"/>
  <c r="J496" i="2"/>
  <c r="J495" i="2"/>
  <c r="J494" i="2"/>
  <c r="J492" i="2"/>
  <c r="J491" i="2"/>
  <c r="J490" i="2"/>
  <c r="J489" i="2"/>
  <c r="J488" i="2"/>
  <c r="J487" i="2"/>
  <c r="J486" i="2"/>
  <c r="J485" i="2"/>
  <c r="J484" i="2"/>
  <c r="J483" i="2"/>
  <c r="J482" i="2"/>
  <c r="J481" i="2"/>
  <c r="J480" i="2"/>
  <c r="J479" i="2"/>
  <c r="J478" i="2"/>
  <c r="J477" i="2"/>
  <c r="J476" i="2"/>
  <c r="J475" i="2"/>
  <c r="J561" i="2"/>
  <c r="J560" i="2"/>
  <c r="J559" i="2"/>
  <c r="J558" i="2"/>
  <c r="J557" i="2"/>
  <c r="J556" i="2"/>
  <c r="J555" i="2"/>
  <c r="J554" i="2"/>
  <c r="J553" i="2"/>
  <c r="J552" i="2"/>
  <c r="J551" i="2"/>
  <c r="J549" i="2"/>
  <c r="J548" i="2"/>
  <c r="J547" i="2"/>
  <c r="J546" i="2"/>
  <c r="J545" i="2"/>
  <c r="J544" i="2"/>
  <c r="J542" i="2"/>
  <c r="J541" i="2"/>
  <c r="J540" i="2"/>
  <c r="J539" i="2"/>
  <c r="J538" i="2"/>
  <c r="J537" i="2"/>
  <c r="J536" i="2"/>
  <c r="J535" i="2"/>
  <c r="J534" i="2"/>
  <c r="J533" i="2"/>
  <c r="J532" i="2"/>
  <c r="J530" i="2"/>
  <c r="J529" i="2"/>
  <c r="J528" i="2"/>
  <c r="J526" i="2"/>
  <c r="J525" i="2"/>
  <c r="J524" i="2"/>
  <c r="J523" i="2"/>
  <c r="J522" i="2"/>
  <c r="J521" i="2"/>
  <c r="J520" i="2"/>
  <c r="J519" i="2"/>
  <c r="J518" i="2"/>
  <c r="J517" i="2"/>
  <c r="D115" i="2"/>
  <c r="D224" i="2"/>
  <c r="D223" i="2"/>
  <c r="D54" i="2"/>
  <c r="D338" i="2"/>
  <c r="D282" i="2"/>
  <c r="D222" i="2"/>
  <c r="D140" i="2"/>
  <c r="D53" i="2"/>
  <c r="D408" i="2"/>
  <c r="D226" i="2"/>
  <c r="D55" i="2"/>
  <c r="D280" i="2"/>
  <c r="D220" i="2"/>
  <c r="D138" i="2"/>
  <c r="D49" i="2"/>
  <c r="D283" i="2"/>
  <c r="D543" i="2"/>
  <c r="D406" i="2"/>
  <c r="D322" i="2"/>
  <c r="D318" i="2"/>
  <c r="D279" i="2"/>
  <c r="D219" i="2"/>
  <c r="D172" i="2"/>
  <c r="D137" i="2"/>
  <c r="D48" i="2"/>
  <c r="D289" i="2"/>
  <c r="D542" i="2"/>
  <c r="D405" i="2"/>
  <c r="D321" i="2"/>
  <c r="D291" i="2"/>
  <c r="D274" i="2"/>
  <c r="D171" i="2"/>
  <c r="D136" i="2"/>
  <c r="D47" i="2"/>
  <c r="D541" i="2"/>
  <c r="D404" i="2"/>
  <c r="D323" i="2"/>
  <c r="D319" i="2"/>
  <c r="D317" i="2"/>
  <c r="D337" i="2"/>
  <c r="D221" i="2"/>
  <c r="D273" i="2"/>
  <c r="D46" i="2"/>
  <c r="D562" i="2"/>
  <c r="D540" i="2"/>
  <c r="D403" i="2"/>
  <c r="D330" i="2"/>
  <c r="D99" i="2"/>
  <c r="D67" i="2"/>
  <c r="D43" i="2"/>
  <c r="D559" i="2"/>
  <c r="D537" i="2"/>
  <c r="D400" i="2"/>
  <c r="D292" i="2"/>
  <c r="D45" i="2"/>
  <c r="D329" i="2"/>
  <c r="D242" i="2"/>
  <c r="D157" i="2"/>
  <c r="D98" i="2"/>
  <c r="D66" i="2"/>
  <c r="D42" i="2"/>
  <c r="D558" i="2"/>
  <c r="D536" i="2"/>
  <c r="D320" i="2"/>
  <c r="D288" i="2"/>
  <c r="D328" i="2"/>
  <c r="D535" i="2"/>
  <c r="D327" i="2"/>
  <c r="D262" i="2"/>
  <c r="D240" i="2"/>
  <c r="D155" i="2"/>
  <c r="D96" i="2"/>
  <c r="D26" i="2"/>
  <c r="D556" i="2"/>
  <c r="D534" i="2"/>
  <c r="D324" i="2"/>
  <c r="D332" i="2"/>
  <c r="D331" i="2"/>
  <c r="D538" i="2"/>
  <c r="D241" i="2"/>
  <c r="D156" i="2"/>
  <c r="D27" i="2"/>
  <c r="D239" i="2"/>
  <c r="D93" i="2"/>
  <c r="D25" i="2"/>
  <c r="D217" i="2"/>
  <c r="D192" i="2"/>
  <c r="D13" i="2"/>
  <c r="D277" i="2"/>
  <c r="D233" i="2"/>
  <c r="D211" i="2"/>
  <c r="D189" i="2"/>
  <c r="D150" i="2"/>
  <c r="D40" i="2"/>
  <c r="D18" i="2"/>
  <c r="D214" i="2"/>
  <c r="D21" i="2"/>
  <c r="D152" i="2"/>
  <c r="D19" i="2"/>
  <c r="D12" i="2"/>
  <c r="D276" i="2"/>
  <c r="D232" i="2"/>
  <c r="D210" i="2"/>
  <c r="D188" i="2"/>
  <c r="D83" i="2"/>
  <c r="D39" i="2"/>
  <c r="D17" i="2"/>
  <c r="D287" i="2"/>
  <c r="D213" i="2"/>
  <c r="D38" i="2"/>
  <c r="D10" i="2"/>
  <c r="D207" i="2"/>
  <c r="D185" i="2"/>
  <c r="D168" i="2"/>
  <c r="D80" i="2"/>
  <c r="D36" i="2"/>
  <c r="D24" i="2"/>
  <c r="D111" i="2"/>
  <c r="D110" i="2"/>
  <c r="D235" i="2"/>
  <c r="D209" i="2"/>
  <c r="D16" i="2"/>
  <c r="D8" i="2"/>
  <c r="D206" i="2"/>
  <c r="D184" i="2"/>
  <c r="D167" i="2"/>
  <c r="D79" i="2"/>
  <c r="D35" i="2"/>
  <c r="D286" i="2"/>
  <c r="D238" i="2"/>
  <c r="D190" i="2"/>
  <c r="D7" i="2"/>
  <c r="D183" i="2"/>
  <c r="D166" i="2"/>
  <c r="D78" i="2"/>
  <c r="D34" i="2"/>
  <c r="D114" i="2"/>
  <c r="D218" i="2"/>
  <c r="D112" i="2"/>
  <c r="D11" i="2"/>
  <c r="D186" i="2"/>
  <c r="D182" i="2"/>
  <c r="D121" i="2"/>
  <c r="D77" i="2"/>
  <c r="D33" i="2"/>
  <c r="D355" i="2"/>
  <c r="D237" i="2"/>
  <c r="D2" i="2"/>
  <c r="D15" i="2"/>
  <c r="D191" i="2"/>
  <c r="D278" i="2"/>
  <c r="D9" i="2"/>
  <c r="D6" i="2"/>
  <c r="D5" i="2"/>
  <c r="D269" i="2"/>
  <c r="D164" i="2"/>
  <c r="D120" i="2"/>
  <c r="D32" i="2"/>
  <c r="D354" i="2"/>
  <c r="D113" i="2"/>
  <c r="D20" i="2"/>
  <c r="D4" i="2"/>
  <c r="D298" i="2"/>
  <c r="D268" i="2"/>
  <c r="D163" i="2"/>
  <c r="D31" i="2"/>
  <c r="D285" i="2"/>
  <c r="D215" i="2"/>
  <c r="D297" i="2"/>
  <c r="D118" i="2"/>
  <c r="D234" i="2"/>
  <c r="D296" i="2"/>
  <c r="D266" i="2"/>
  <c r="D161" i="2"/>
  <c r="D117" i="2"/>
  <c r="D95" i="2"/>
  <c r="D51" i="2"/>
  <c r="D29" i="2"/>
  <c r="D531" i="2"/>
  <c r="D525" i="2"/>
  <c r="D524" i="2"/>
  <c r="D522" i="2"/>
  <c r="D521" i="2"/>
  <c r="D520" i="2"/>
  <c r="D519" i="2"/>
  <c r="D353" i="2"/>
  <c r="D357" i="2"/>
  <c r="D358" i="2"/>
  <c r="D359" i="2"/>
  <c r="D360" i="2"/>
  <c r="D361" i="2"/>
  <c r="D362" i="2"/>
  <c r="D363" i="2"/>
  <c r="D356" i="2"/>
  <c r="D376" i="2"/>
  <c r="D377" i="2"/>
  <c r="D378" i="2"/>
  <c r="D379" i="2"/>
  <c r="D380" i="2"/>
  <c r="D381" i="2"/>
  <c r="D382" i="2"/>
  <c r="D383" i="2"/>
  <c r="D384" i="2"/>
  <c r="D385" i="2"/>
  <c r="D386" i="2"/>
  <c r="D387" i="2"/>
  <c r="D370" i="2"/>
  <c r="D371" i="2"/>
  <c r="D372" i="2"/>
  <c r="D373" i="2"/>
  <c r="D374" i="2"/>
  <c r="D375" i="2"/>
  <c r="D393" i="2"/>
  <c r="D394" i="2"/>
  <c r="D395" i="2"/>
  <c r="D396" i="2"/>
  <c r="D397" i="2"/>
  <c r="D398" i="2"/>
  <c r="D364" i="2"/>
  <c r="D365" i="2"/>
  <c r="D366" i="2"/>
  <c r="D367" i="2"/>
  <c r="D368" i="2"/>
  <c r="D369" i="2"/>
  <c r="D388" i="2"/>
  <c r="D389" i="2"/>
  <c r="D390" i="2"/>
  <c r="D391" i="2"/>
  <c r="D392" i="2"/>
  <c r="D411" i="2"/>
  <c r="D412" i="2"/>
  <c r="D413" i="2"/>
  <c r="D414" i="2"/>
  <c r="D415" i="2"/>
  <c r="D427" i="2"/>
  <c r="D428" i="2"/>
  <c r="D429" i="2"/>
  <c r="D430" i="2"/>
  <c r="D423" i="2"/>
  <c r="D424" i="2"/>
  <c r="D425" i="2"/>
  <c r="D426" i="2"/>
  <c r="D416" i="2"/>
  <c r="D417" i="2"/>
  <c r="D418" i="2"/>
  <c r="D419" i="2"/>
  <c r="D420" i="2"/>
  <c r="D421" i="2"/>
  <c r="D422" i="2"/>
  <c r="D499" i="2"/>
  <c r="D500" i="2"/>
  <c r="D501" i="2"/>
  <c r="D502" i="2"/>
  <c r="D503" i="2"/>
  <c r="D504" i="2"/>
  <c r="D505" i="2"/>
  <c r="D506" i="2"/>
  <c r="D507" i="2"/>
  <c r="D508" i="2"/>
  <c r="D509" i="2"/>
  <c r="D510" i="2"/>
  <c r="D486" i="2"/>
  <c r="D487" i="2"/>
  <c r="D488" i="2"/>
  <c r="D489" i="2"/>
  <c r="D490" i="2"/>
  <c r="D491" i="2"/>
  <c r="D492" i="2"/>
  <c r="D493" i="2"/>
  <c r="D475" i="2"/>
  <c r="D476" i="2"/>
  <c r="D477" i="2"/>
  <c r="D478" i="2"/>
  <c r="D479" i="2"/>
  <c r="D480" i="2"/>
  <c r="D481" i="2"/>
  <c r="D482" i="2"/>
  <c r="D483" i="2"/>
  <c r="D484" i="2"/>
  <c r="D485" i="2"/>
  <c r="D474" i="2"/>
  <c r="D494" i="2"/>
  <c r="D495" i="2"/>
  <c r="D496" i="2"/>
  <c r="D497" i="2"/>
  <c r="D498" i="2"/>
  <c r="D511" i="2"/>
  <c r="D512" i="2"/>
  <c r="D513" i="2"/>
  <c r="D514" i="2"/>
  <c r="D515" i="2"/>
  <c r="D462" i="2"/>
  <c r="D463" i="2"/>
  <c r="D464" i="2"/>
  <c r="D465" i="2"/>
  <c r="D466" i="2"/>
  <c r="D458" i="2"/>
  <c r="D459" i="2"/>
  <c r="D460" i="2"/>
  <c r="D461" i="2"/>
  <c r="D452" i="2"/>
  <c r="D453" i="2"/>
  <c r="D454" i="2"/>
  <c r="D455" i="2"/>
  <c r="D456" i="2"/>
  <c r="D457" i="2"/>
  <c r="D448" i="2"/>
  <c r="D449" i="2"/>
  <c r="D450" i="2"/>
  <c r="D451" i="2"/>
  <c r="D447" i="2"/>
  <c r="D467" i="2"/>
  <c r="D468" i="2"/>
  <c r="D469" i="2"/>
  <c r="D470" i="2"/>
  <c r="D471" i="2"/>
  <c r="D472" i="2"/>
  <c r="D473" i="2"/>
  <c r="D431" i="2"/>
  <c r="D432" i="2"/>
  <c r="D433" i="2"/>
  <c r="D439" i="2"/>
  <c r="D440" i="2"/>
  <c r="D441" i="2"/>
  <c r="D442" i="2"/>
  <c r="D443" i="2"/>
  <c r="D444" i="2"/>
  <c r="D445" i="2"/>
  <c r="D446" i="2"/>
  <c r="D434" i="2"/>
  <c r="D435" i="2"/>
  <c r="D436" i="2"/>
  <c r="D437" i="2"/>
  <c r="D438" i="2"/>
  <c r="G72" i="1" l="1" a="1"/>
  <c r="G72" i="1" s="1"/>
  <c r="F72" i="1" s="1"/>
  <c r="G108" i="1" a="1"/>
  <c r="G108" i="1" s="1"/>
  <c r="F108" i="1" s="1"/>
  <c r="G6" i="1" a="1"/>
  <c r="G6" i="1" s="1"/>
  <c r="F6" i="1" s="1"/>
  <c r="G14" i="1" a="1"/>
  <c r="G14" i="1" s="1"/>
  <c r="F14" i="1" s="1"/>
  <c r="G22" i="1" a="1"/>
  <c r="G22" i="1" s="1"/>
  <c r="F22" i="1" s="1"/>
  <c r="G30" i="1" a="1"/>
  <c r="G30" i="1" s="1"/>
  <c r="F30" i="1" s="1"/>
  <c r="G38" i="1" a="1"/>
  <c r="G38" i="1" s="1"/>
  <c r="F38" i="1" s="1"/>
  <c r="G46" i="1" a="1"/>
  <c r="G46" i="1" s="1"/>
  <c r="F46" i="1" s="1"/>
  <c r="G53" i="1" a="1"/>
  <c r="G53" i="1" s="1"/>
  <c r="F53" i="1" s="1"/>
  <c r="G61" i="1" a="1"/>
  <c r="G61" i="1" s="1"/>
  <c r="F61" i="1" s="1"/>
  <c r="G69" i="1" a="1"/>
  <c r="G69" i="1" s="1"/>
  <c r="F69" i="1" s="1"/>
  <c r="G78" i="1" a="1"/>
  <c r="G78" i="1" s="1"/>
  <c r="F78" i="1" s="1"/>
  <c r="G93" i="1" a="1"/>
  <c r="G93" i="1" s="1"/>
  <c r="F93" i="1" s="1"/>
  <c r="G101" i="1" a="1"/>
  <c r="G101" i="1" s="1"/>
  <c r="F101" i="1" s="1"/>
  <c r="G91" i="1" a="1"/>
  <c r="G91" i="1" s="1"/>
  <c r="F91" i="1" s="1"/>
  <c r="G107" i="1" a="1"/>
  <c r="G107" i="1" s="1"/>
  <c r="F107" i="1" s="1"/>
  <c r="G7" i="1" a="1"/>
  <c r="G7" i="1" s="1"/>
  <c r="F7" i="1" s="1"/>
  <c r="G15" i="1" a="1"/>
  <c r="G15" i="1" s="1"/>
  <c r="F15" i="1" s="1"/>
  <c r="G23" i="1" a="1"/>
  <c r="G23" i="1" s="1"/>
  <c r="F23" i="1" s="1"/>
  <c r="G31" i="1" a="1"/>
  <c r="G31" i="1" s="1"/>
  <c r="F31" i="1" s="1"/>
  <c r="G39" i="1" a="1"/>
  <c r="G39" i="1" s="1"/>
  <c r="F39" i="1" s="1"/>
  <c r="G47" i="1" a="1"/>
  <c r="G47" i="1" s="1"/>
  <c r="F47" i="1" s="1"/>
  <c r="G54" i="1" a="1"/>
  <c r="G54" i="1" s="1"/>
  <c r="F54" i="1" s="1"/>
  <c r="G62" i="1" a="1"/>
  <c r="G62" i="1" s="1"/>
  <c r="F62" i="1" s="1"/>
  <c r="G70" i="1" a="1"/>
  <c r="G70" i="1" s="1"/>
  <c r="F70" i="1" s="1"/>
  <c r="G79" i="1" a="1"/>
  <c r="G79" i="1" s="1"/>
  <c r="F79" i="1" s="1"/>
  <c r="G94" i="1" a="1"/>
  <c r="G94" i="1" s="1"/>
  <c r="F94" i="1" s="1"/>
  <c r="G102" i="1" a="1"/>
  <c r="G102" i="1" s="1"/>
  <c r="F102" i="1" s="1"/>
  <c r="G90" i="1" a="1"/>
  <c r="G90" i="1" s="1"/>
  <c r="F90" i="1" s="1"/>
  <c r="G106" i="1" a="1"/>
  <c r="G106" i="1" s="1"/>
  <c r="F106" i="1" s="1"/>
  <c r="G8" i="1" a="1"/>
  <c r="G8" i="1" s="1"/>
  <c r="F8" i="1" s="1"/>
  <c r="G16" i="1" a="1"/>
  <c r="G16" i="1" s="1"/>
  <c r="F16" i="1" s="1"/>
  <c r="G24" i="1" a="1"/>
  <c r="G24" i="1" s="1"/>
  <c r="F24" i="1" s="1"/>
  <c r="G32" i="1" a="1"/>
  <c r="G32" i="1" s="1"/>
  <c r="F32" i="1" s="1"/>
  <c r="G40" i="1" a="1"/>
  <c r="G40" i="1" s="1"/>
  <c r="F40" i="1" s="1"/>
  <c r="G48" i="1" a="1"/>
  <c r="G48" i="1" s="1"/>
  <c r="F48" i="1" s="1"/>
  <c r="G55" i="1" a="1"/>
  <c r="G55" i="1" s="1"/>
  <c r="F55" i="1" s="1"/>
  <c r="G63" i="1" a="1"/>
  <c r="G63" i="1" s="1"/>
  <c r="F63" i="1" s="1"/>
  <c r="G71" i="1" a="1"/>
  <c r="G71" i="1" s="1"/>
  <c r="F71" i="1" s="1"/>
  <c r="G80" i="1" a="1"/>
  <c r="G80" i="1" s="1"/>
  <c r="F80" i="1" s="1"/>
  <c r="G95" i="1" a="1"/>
  <c r="G95" i="1" s="1"/>
  <c r="F95" i="1" s="1"/>
  <c r="G103" i="1" a="1"/>
  <c r="G103" i="1" s="1"/>
  <c r="F103" i="1" s="1"/>
  <c r="G89" i="1" a="1"/>
  <c r="G89" i="1" s="1"/>
  <c r="F89" i="1" s="1"/>
  <c r="G105" i="1" a="1"/>
  <c r="G105" i="1" s="1"/>
  <c r="F105" i="1" s="1"/>
  <c r="G9" i="1" a="1"/>
  <c r="G9" i="1" s="1"/>
  <c r="F9" i="1" s="1"/>
  <c r="G17" i="1" a="1"/>
  <c r="G17" i="1" s="1"/>
  <c r="F17" i="1" s="1"/>
  <c r="G25" i="1" a="1"/>
  <c r="G25" i="1" s="1"/>
  <c r="F25" i="1" s="1"/>
  <c r="G33" i="1" a="1"/>
  <c r="G33" i="1" s="1"/>
  <c r="F33" i="1" s="1"/>
  <c r="G41" i="1" a="1"/>
  <c r="G41" i="1" s="1"/>
  <c r="F41" i="1" s="1"/>
  <c r="G49" i="1" a="1"/>
  <c r="G49" i="1" s="1"/>
  <c r="F49" i="1" s="1"/>
  <c r="G56" i="1" a="1"/>
  <c r="G56" i="1" s="1"/>
  <c r="F56" i="1" s="1"/>
  <c r="G64" i="1" a="1"/>
  <c r="G64" i="1" s="1"/>
  <c r="F64" i="1" s="1"/>
  <c r="G73" i="1" a="1"/>
  <c r="G73" i="1" s="1"/>
  <c r="F73" i="1" s="1"/>
  <c r="G81" i="1" a="1"/>
  <c r="G81" i="1" s="1"/>
  <c r="F81" i="1" s="1"/>
  <c r="G96" i="1" a="1"/>
  <c r="G96" i="1" s="1"/>
  <c r="F96" i="1" s="1"/>
  <c r="G104" i="1" a="1"/>
  <c r="G104" i="1" s="1"/>
  <c r="F104" i="1" s="1"/>
  <c r="G88" i="1" a="1"/>
  <c r="G88" i="1" s="1"/>
  <c r="F88" i="1" s="1"/>
  <c r="G2" i="1" a="1"/>
  <c r="G2" i="1" s="1"/>
  <c r="F2" i="1" s="1"/>
  <c r="G10" i="1" a="1"/>
  <c r="G10" i="1" s="1"/>
  <c r="F10" i="1" s="1"/>
  <c r="G18" i="1" a="1"/>
  <c r="G18" i="1" s="1"/>
  <c r="F18" i="1" s="1"/>
  <c r="G26" i="1" a="1"/>
  <c r="G26" i="1" s="1"/>
  <c r="F26" i="1" s="1"/>
  <c r="G34" i="1" a="1"/>
  <c r="G34" i="1" s="1"/>
  <c r="F34" i="1" s="1"/>
  <c r="G42" i="1" a="1"/>
  <c r="G42" i="1" s="1"/>
  <c r="F42" i="1" s="1"/>
  <c r="G50" i="1" a="1"/>
  <c r="G50" i="1" s="1"/>
  <c r="F50" i="1" s="1"/>
  <c r="G57" i="1" a="1"/>
  <c r="G57" i="1" s="1"/>
  <c r="F57" i="1" s="1"/>
  <c r="G65" i="1" a="1"/>
  <c r="G65" i="1" s="1"/>
  <c r="F65" i="1" s="1"/>
  <c r="G74" i="1" a="1"/>
  <c r="G74" i="1" s="1"/>
  <c r="F74" i="1" s="1"/>
  <c r="G82" i="1" a="1"/>
  <c r="G82" i="1" s="1"/>
  <c r="F82" i="1" s="1"/>
  <c r="G97" i="1" a="1"/>
  <c r="G97" i="1" s="1"/>
  <c r="F97" i="1" s="1"/>
  <c r="G109" i="1" a="1"/>
  <c r="G109" i="1" s="1"/>
  <c r="F109" i="1" s="1"/>
  <c r="G87" i="1" a="1"/>
  <c r="G87" i="1" s="1"/>
  <c r="F87" i="1" s="1"/>
  <c r="G3" i="1" a="1"/>
  <c r="G3" i="1" s="1"/>
  <c r="F3" i="1" s="1"/>
  <c r="G11" i="1" a="1"/>
  <c r="G11" i="1" s="1"/>
  <c r="F11" i="1" s="1"/>
  <c r="G19" i="1" a="1"/>
  <c r="G19" i="1" s="1"/>
  <c r="F19" i="1" s="1"/>
  <c r="G27" i="1" a="1"/>
  <c r="G27" i="1" s="1"/>
  <c r="F27" i="1" s="1"/>
  <c r="G35" i="1" a="1"/>
  <c r="G35" i="1" s="1"/>
  <c r="F35" i="1" s="1"/>
  <c r="G43" i="1" a="1"/>
  <c r="G43" i="1" s="1"/>
  <c r="F43" i="1" s="1"/>
  <c r="G58" i="1" a="1"/>
  <c r="G58" i="1" s="1"/>
  <c r="F58" i="1" s="1"/>
  <c r="G66" i="1" a="1"/>
  <c r="G66" i="1" s="1"/>
  <c r="F66" i="1" s="1"/>
  <c r="G75" i="1" a="1"/>
  <c r="G75" i="1" s="1"/>
  <c r="F75" i="1" s="1"/>
  <c r="G83" i="1" a="1"/>
  <c r="G83" i="1" s="1"/>
  <c r="F83" i="1" s="1"/>
  <c r="G98" i="1" a="1"/>
  <c r="G98" i="1" s="1"/>
  <c r="F98" i="1" s="1"/>
  <c r="G86" i="1" a="1"/>
  <c r="G86" i="1" s="1"/>
  <c r="F86" i="1" s="1"/>
  <c r="G4" i="1" a="1"/>
  <c r="G4" i="1" s="1"/>
  <c r="F4" i="1" s="1"/>
  <c r="G12" i="1" a="1"/>
  <c r="G12" i="1" s="1"/>
  <c r="F12" i="1" s="1"/>
  <c r="G20" i="1" a="1"/>
  <c r="G20" i="1" s="1"/>
  <c r="F20" i="1" s="1"/>
  <c r="G28" i="1" a="1"/>
  <c r="G28" i="1" s="1"/>
  <c r="F28" i="1" s="1"/>
  <c r="G36" i="1" a="1"/>
  <c r="G36" i="1" s="1"/>
  <c r="F36" i="1" s="1"/>
  <c r="G44" i="1" a="1"/>
  <c r="G44" i="1" s="1"/>
  <c r="F44" i="1" s="1"/>
  <c r="G51" i="1" a="1"/>
  <c r="G51" i="1" s="1"/>
  <c r="F51" i="1" s="1"/>
  <c r="G59" i="1" a="1"/>
  <c r="G59" i="1" s="1"/>
  <c r="F59" i="1" s="1"/>
  <c r="G67" i="1" a="1"/>
  <c r="G67" i="1" s="1"/>
  <c r="F67" i="1" s="1"/>
  <c r="G76" i="1" a="1"/>
  <c r="G76" i="1" s="1"/>
  <c r="F76" i="1" s="1"/>
  <c r="G84" i="1" a="1"/>
  <c r="G84" i="1" s="1"/>
  <c r="F84" i="1" s="1"/>
  <c r="G99" i="1" a="1"/>
  <c r="G99" i="1" s="1"/>
  <c r="F99" i="1" s="1"/>
  <c r="G85" i="1" a="1"/>
  <c r="G85" i="1" s="1"/>
  <c r="F85" i="1" s="1"/>
  <c r="G5" i="1" a="1"/>
  <c r="G5" i="1" s="1"/>
  <c r="F5" i="1" s="1"/>
  <c r="G13" i="1" a="1"/>
  <c r="G13" i="1" s="1"/>
  <c r="F13" i="1" s="1"/>
  <c r="G21" i="1" a="1"/>
  <c r="G21" i="1" s="1"/>
  <c r="F21" i="1" s="1"/>
  <c r="G29" i="1" a="1"/>
  <c r="G29" i="1" s="1"/>
  <c r="F29" i="1" s="1"/>
  <c r="G37" i="1" a="1"/>
  <c r="G37" i="1" s="1"/>
  <c r="F37" i="1" s="1"/>
  <c r="G45" i="1" a="1"/>
  <c r="G45" i="1" s="1"/>
  <c r="F45" i="1" s="1"/>
  <c r="G52" i="1" a="1"/>
  <c r="G52" i="1" s="1"/>
  <c r="F52" i="1" s="1"/>
  <c r="G60" i="1" a="1"/>
  <c r="G60" i="1" s="1"/>
  <c r="F60" i="1" s="1"/>
  <c r="G68" i="1" a="1"/>
  <c r="G68" i="1" s="1"/>
  <c r="F68" i="1" s="1"/>
  <c r="G77" i="1" a="1"/>
  <c r="G77" i="1" s="1"/>
  <c r="F77" i="1" s="1"/>
  <c r="G92" i="1" a="1"/>
  <c r="G92" i="1" s="1"/>
  <c r="F92" i="1" s="1"/>
  <c r="G100" i="1" a="1"/>
  <c r="G100" i="1" s="1"/>
  <c r="F100" i="1" s="1"/>
  <c r="J2" i="1"/>
  <c r="J3" i="1"/>
  <c r="J4" i="1"/>
  <c r="J5" i="1"/>
  <c r="J6" i="1"/>
  <c r="J7" i="1"/>
  <c r="J8" i="1"/>
  <c r="J9" i="1"/>
  <c r="J10" i="1"/>
  <c r="J11" i="1"/>
  <c r="J12" i="1"/>
  <c r="J13" i="1"/>
  <c r="J14" i="1"/>
  <c r="J15" i="1"/>
  <c r="J16" i="1"/>
  <c r="J17" i="1"/>
  <c r="J18" i="1"/>
  <c r="J19" i="1"/>
  <c r="J20" i="1"/>
  <c r="J21" i="1"/>
  <c r="J22" i="1"/>
  <c r="H23" i="1"/>
  <c r="H24" i="1"/>
  <c r="J25" i="1"/>
  <c r="H26" i="1"/>
  <c r="H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23" i="1" l="1"/>
  <c r="J26" i="1"/>
  <c r="J24" i="1"/>
  <c r="J2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<sst xmlns="http://schemas.openxmlformats.org/spreadsheetml/2006/main" count="4795" uniqueCount="798">
  <si>
    <t>ID_Area</t>
  </si>
  <si>
    <t>Área</t>
  </si>
  <si>
    <t>Tema</t>
  </si>
  <si>
    <t>ID_Meta</t>
  </si>
  <si>
    <t>Descrição da Meta</t>
  </si>
  <si>
    <t>Status da Meta</t>
  </si>
  <si>
    <t>% Avanço</t>
  </si>
  <si>
    <t>Data Inicio</t>
  </si>
  <si>
    <t>Data Fim</t>
  </si>
  <si>
    <t>Duração</t>
  </si>
  <si>
    <t>ID_Responsavel</t>
  </si>
  <si>
    <t>Responsável</t>
  </si>
  <si>
    <t>Empresa</t>
  </si>
  <si>
    <t>Observação de Acompanhamento</t>
  </si>
  <si>
    <t>Concluí em 2025?</t>
  </si>
  <si>
    <t>Licenciamento &amp; Regulatório</t>
  </si>
  <si>
    <t>Licenciamento</t>
  </si>
  <si>
    <t>Atender a Lei SNUC/SEUC e Lei de FAUNA dentro dos prazos estabelecidos pelos órgãos reguladores</t>
  </si>
  <si>
    <t>Thiago Viana</t>
  </si>
  <si>
    <t>SVPM</t>
  </si>
  <si>
    <t>Pendência da SEMAD. Dentro das ações de responsabilidade GMA, tudo foi cumprido conforme proposto para 2025. Continuidade 2026 conforme aditivo TCCA e Aditivos contratuai</t>
  </si>
  <si>
    <t>Não</t>
  </si>
  <si>
    <t>Sim</t>
  </si>
  <si>
    <t xml:space="preserve">Concluir o processo de solicitação de aditivo ao Termo de Compromisso Ambiental do SNUC/SEUC do processo de complementação das estruturas licenciadas_Thiago </t>
  </si>
  <si>
    <t>SGA</t>
  </si>
  <si>
    <t>Desenvolver e implementar estratégia para implantação da SGA ISO 14001</t>
  </si>
  <si>
    <t>Continuidade em 2026. Itens do Manual SGA e Aspectos e Impactos com base na nova estrutura e planejamento integrado da Gerência. Alinhado com Gestor a prorrogação da meta, devido foco em outros temas prioritários (RDA e Licenciamentos)</t>
  </si>
  <si>
    <t>Cumprir plano de licenciamento (ASV, Heap Leaching, renovação, integração)_Thiago</t>
  </si>
  <si>
    <t>Desenvolver Masterplan de Licenciamento Ambiental da SVPM_Thiago</t>
  </si>
  <si>
    <t>Implementar sistema de requisitos legais ambientais</t>
  </si>
  <si>
    <t>Anna Laura</t>
  </si>
  <si>
    <t>SESI</t>
  </si>
  <si>
    <t>Realizar gap analysis da ISO14001 nas áreas</t>
  </si>
  <si>
    <t>Regulatório</t>
  </si>
  <si>
    <t>Estruturação da BASE DE DADOS e plano de atendimento aos itens regulatórios Fundiários, Minerários e Passivos Ambientais das propriedades_AnnaLaura</t>
  </si>
  <si>
    <t>Concluir o processo de solicitação de aditivo ao Termo de Compromisso Ambiental do SNUC/SEUC do processo de complementação das estruturas licenciadas_AnnaLaura</t>
  </si>
  <si>
    <t xml:space="preserve">Acompanhar o processo de Renovação da Licença de Instalação pelo sistema SGA junto a SEMAD </t>
  </si>
  <si>
    <t>Cumprir plano de licenciamento (ASV, Heap Leaching, renovação, integração)_Nadrielle</t>
  </si>
  <si>
    <t>Nadrielle</t>
  </si>
  <si>
    <t>Gestão de Custo</t>
  </si>
  <si>
    <t xml:space="preserve">Propor revisão de contratos vigentes buscando reduzir custos </t>
  </si>
  <si>
    <t>Publicações científicas</t>
  </si>
  <si>
    <t>Desenvolver Masterplan de Licenciamento Ambiental da SVPM_Nadrielle</t>
  </si>
  <si>
    <t>Estruturar BASE de DADOS geoespaciais (GMA)_Nadrielle</t>
  </si>
  <si>
    <t>Atender a Lei SNUC/SEUC e Lei de FAUNA dentro dos prazos estabelecidos pelos órgãos reguladores_Nadrielle</t>
  </si>
  <si>
    <t>Estruturação da BASE DE DADOS e plano de atendimento aos itens regulatórios Fundiários, Minerários e Passivos Ambientais das propriedades_Nadrielle</t>
  </si>
  <si>
    <t>Elaborar Procedimento de Aspectos e Impactos Ambientais e Executar Piloto em 01 Área</t>
  </si>
  <si>
    <t>Thayna</t>
  </si>
  <si>
    <t>BIOTA</t>
  </si>
  <si>
    <t>Continuidade em 2026</t>
  </si>
  <si>
    <t>Executar e consolidar sistemática de atualização e consolidação das informações para elaboração RDA 2026/2025_Thayna</t>
  </si>
  <si>
    <t>Estruturação da BASE DE DADOS e plano de atendimento aos itens regulatórios Fundiários, Minerários e Passivos Ambientais das propriedades_Thayna</t>
  </si>
  <si>
    <t>Diligenciar no acompanhamento das solicitações de exclusões de condicionantes</t>
  </si>
  <si>
    <t>Desenvolver Manual do SGA</t>
  </si>
  <si>
    <t>Meio Ambiente - Gerencial</t>
  </si>
  <si>
    <t>P&amp;D</t>
  </si>
  <si>
    <t>SULFATO DE AMÔNIO - Continuidade dos Estudos de Avaliação de Impactos e Ganhos Potenciais com inclusão do reagente S.A.</t>
  </si>
  <si>
    <t>Edimar Dias</t>
  </si>
  <si>
    <t>TRATABILIDADE EFLUENTES E REJEITOS - Continuidade dos Estudos de Tratabilidade de Efluentes (Salinidade  ).</t>
  </si>
  <si>
    <t>REGULARIZAÇÃO CAR - Atualização das informações e adequação das bases das propriedades inseridas na ADA SVPM conforme prioridade e disponibilidade de recurso.</t>
  </si>
  <si>
    <t>Desenvolver e Implementar do Indice de Maturidade e regras socioambientais</t>
  </si>
  <si>
    <t>Atualizar base de APP (Vereda, Nascente e cursos hídricos) das propriedades.</t>
  </si>
  <si>
    <t>Projeto</t>
  </si>
  <si>
    <t>Rehabilitation Projects  Phase II</t>
  </si>
  <si>
    <t xml:space="preserve">Elaborar Book ambiental dos projetos Flow Sheat </t>
  </si>
  <si>
    <t>Elaborar Book ambiental do Heap Laeth</t>
  </si>
  <si>
    <t>Meio Ambiente - Operação</t>
  </si>
  <si>
    <t xml:space="preserve">Planos Diretores </t>
  </si>
  <si>
    <t xml:space="preserve"> Elaborar o Plano Diretor de PRAD do empreendimento, estabelecendo diretrizes e ações para o gerenciamento de águas superficiais, controle de processos erosivos, aplicação de técnicas de bioengenharia e revegetação de taludes nas áreas da SVPM.</t>
  </si>
  <si>
    <t>Alan Boni</t>
  </si>
  <si>
    <t>Alinhado com a Gerencia que a meta será concluída no início de 2026 com a realização do workshop e treinamento das equipes operacionais</t>
  </si>
  <si>
    <t>PRAD</t>
  </si>
  <si>
    <t>Desenvolvimento de protocolo de monitoramento para conclusão de áreas de PRAD da Serra Verde</t>
  </si>
  <si>
    <t>Elaborar o Plano Diretor de Controles Ambientais do empreendimento</t>
  </si>
  <si>
    <t>Desenvolver e Implementar do Indice de Maturidade e regras socioambientais.</t>
  </si>
  <si>
    <t>Início em 2026.</t>
  </si>
  <si>
    <t xml:space="preserve">Desenvolvimento de experimentos com técnicas de recuperação de áreas degradadas. </t>
  </si>
  <si>
    <t>Leovigildo</t>
  </si>
  <si>
    <t>A meta é dependente da aquisição dos insumos do PRAD e Bioengenharia. Serão entregues à SVPM somente em janeiro de 2026.</t>
  </si>
  <si>
    <t>Meio Biótico</t>
  </si>
  <si>
    <t>Desenvolver trabalho técnico florestal com base na implantação e resultados iniciais do PRAD Piloto.</t>
  </si>
  <si>
    <t>Exceto a submissão do trabalho em periódico científico, todas as outras etapas foram finalizadas. No entanto, a submissão depende ainda da aprovação da Relações Institucionais e Responsabilidade Social
Responsabilidade Social Corporativa.</t>
  </si>
  <si>
    <t>De acordo com as premissas do Plano diretor de PRAD, firmar parcerias com instituições de pesquisa / pesquisadores autônomos para estudos aprofundados relacionados a estratégias para recuperação do cerrado.</t>
  </si>
  <si>
    <t> Dependente da aquisição dos insumos de PRAD e Bioengenharia, que só serão entregues à SVPM em janeiro de 2026.</t>
  </si>
  <si>
    <t>Apresentar e testar novas soluções para controle de sedimentos do empreendimento.</t>
  </si>
  <si>
    <t>Impantadas duas soluções reaproveitando lonas de filtragem: 01 para a proteção de taludes e controle de plantas daninhas por solarização no PRAD Piloto; 01 como construção de paliçadas para a retenção de sedimentos na Cava Sul.</t>
  </si>
  <si>
    <t>Controle Ambiental</t>
  </si>
  <si>
    <t>Implementar o Plano Diretor de Controles Ambientais (PDCA) do empreendimento.</t>
  </si>
  <si>
    <t>Pedro Duque</t>
  </si>
  <si>
    <t>Determinar as principais bacias de drenagem natural da ADA SVPM e suas contribuições pluviais, para determinar a origem dos impactos de turbidez das bacias.</t>
  </si>
  <si>
    <t>Apresentar e testar novas soluções para proteção de taludes a erosão</t>
  </si>
  <si>
    <t>Propor nova metodologia para controle de material particulado em vias não pavimentadas</t>
  </si>
  <si>
    <t>Meio Físico</t>
  </si>
  <si>
    <t>Revisão dos documentos PGRS / PGRSS / PGRCCD</t>
  </si>
  <si>
    <t>Geovanna Freitas</t>
  </si>
  <si>
    <t>Implementação PGRS / PGRSS / PGRCCD</t>
  </si>
  <si>
    <t>Implementação Programa de Gerenciamento de Resíduos Sólidos</t>
  </si>
  <si>
    <t>GAP Analysis para Adequação do atendimento à NBR 10.004</t>
  </si>
  <si>
    <t>Plano Diretor de Resíduos Sólidos</t>
  </si>
  <si>
    <t>Plano de Atendimento a Emergência</t>
  </si>
  <si>
    <t>Revisão do PAE, PGR e PAE Rodoviário integrando atualizando e revisão riscos e atividades do empreendimento.</t>
  </si>
  <si>
    <t>Thulio Souza</t>
  </si>
  <si>
    <t>Criar Procedimento do PAE e PGR (Unificado Ambiente e Segurança).</t>
  </si>
  <si>
    <t>Aperfeiçoar sistema de gestão ambiental da área de Meio Ambiente Operação.</t>
  </si>
  <si>
    <t>Implementar experimentos com técnicas de recuperação de áreas degradadas.</t>
  </si>
  <si>
    <t>Ricardo Sobrinho</t>
  </si>
  <si>
    <t>Implantar novas soluções para controle de sedimentos do empreendimento.</t>
  </si>
  <si>
    <t>Apoio no Desenvolvimento  e Implementação do Indice de Maturidade e regras socioambientais</t>
  </si>
  <si>
    <t>Lucas Vilela</t>
  </si>
  <si>
    <t>Estruturar sistemas de informações de dados de SGA ambientais e geoespaciais (presente/futuro).</t>
  </si>
  <si>
    <t>Avaliação e mapeamento de impacto de soluções salinas no solo, flora e água</t>
  </si>
  <si>
    <t>Implantar soluções técnicas para controles controle da vazamento de óleo na planta e na mina.</t>
  </si>
  <si>
    <t>Matheus</t>
  </si>
  <si>
    <t>Determinar as principais bacias de drenagem natural da ADA SVPM e suas contribuições pluviais, para determinar a origem dos impactos de turbidez das bacias_Matheus</t>
  </si>
  <si>
    <t>Implantar soluções técnicas para controles controle da vazamento de óleo na planta e na mina..</t>
  </si>
  <si>
    <t>Guilherme Monteiro</t>
  </si>
  <si>
    <t xml:space="preserve">Aguardando chegada da amostra para teste operacional </t>
  </si>
  <si>
    <t>Apresentar e testar novas soluções para proteção de taludes a erosão_GuilhermeMonteiro</t>
  </si>
  <si>
    <t>Desenvolver plano estratégico de suprimentos sustentável de material genético (mudas, sementes, composto orgânico...) do Cerrado</t>
  </si>
  <si>
    <t>Plano de Seleção e Mapeamento de Matrizes Florestais, Plano de Coleta e Beneficiamento de Sementes Florestais, Plano de Estruturação do Viveiro Florestal</t>
  </si>
  <si>
    <t>Operação</t>
  </si>
  <si>
    <t>Instalar e operar Meliponário SVPM, confeccionando relatório final anual evidenciando os trabalhalhos realizados.</t>
  </si>
  <si>
    <t>Allikison</t>
  </si>
  <si>
    <t xml:space="preserve">Desenvolver estudos utilizando DNA Ambiental (eDNA) </t>
  </si>
  <si>
    <t>Cyro</t>
  </si>
  <si>
    <t xml:space="preserve">Monitoramento Ambiental </t>
  </si>
  <si>
    <t>Desenvolver e implantar metodologias de monitoramento de fauna nas áreas de PRAD.</t>
  </si>
  <si>
    <t>Desenvolver procedimento e implantar metodologias de monitoramento dos impactos do Sal na Fauna local.</t>
  </si>
  <si>
    <t>Estudos Ambientais</t>
  </si>
  <si>
    <t>Confeccionar acervo de fauna para educação ambiental (coleção própria)</t>
  </si>
  <si>
    <t>Firmar parcerias com instituições de pesquisa / pesquisadores autônomos para estudos aprofundados relacionados às espécies da fauna e flora locais.</t>
  </si>
  <si>
    <t>Dyse</t>
  </si>
  <si>
    <t>Foi firmada parceria com o pesquisador Zenilton, da Embrapa, e com um mantenedor de fauna.</t>
  </si>
  <si>
    <t>Garantir que a taxa de reabilitação e reintrodução dos animais recebidos e tratados com sucesso no CETRAS não fique abaixo de 95%.</t>
  </si>
  <si>
    <t>É uma meta contínua, já que está correlacionada à entrada de animais no CETRAS. Mesmo assim, considero concluída, pois todos os procedimentos estão sendo seguidos.</t>
  </si>
  <si>
    <t xml:space="preserve">Desenvolver estudo e executar monitoramento em pontos estratégicos de passagem de fauna </t>
  </si>
  <si>
    <t>Gilmar</t>
  </si>
  <si>
    <t xml:space="preserve">Garantir o plano de monitoramento de fauna e flora em campo. </t>
  </si>
  <si>
    <t>Executar o plano estratégico de suprimentos sustentável de material genético (mudas, sementes, composto orgânico...) do Cerrado</t>
  </si>
  <si>
    <t xml:space="preserve">Gleiciele </t>
  </si>
  <si>
    <t>CERRADÃO</t>
  </si>
  <si>
    <t>Estruturar o Plano Diretor de Águas do empreendimento, estabelecendo ações, indicadores e metas alinhados ao horizonte temporal de 2025 a 2030.</t>
  </si>
  <si>
    <t>Nelson Bolotari</t>
  </si>
  <si>
    <t>Implementar ações do Plano Diretor de Emissões Atmosféricas</t>
  </si>
  <si>
    <t xml:space="preserve">Submeter ao menos um trabalho científico em evento/revista renomada </t>
  </si>
  <si>
    <t>Desenvolver plano para o aproveitamento científico dos dados e informações do meio físico</t>
  </si>
  <si>
    <t>Concluir e implantar Plano diretor de Resíduos</t>
  </si>
  <si>
    <t>Definir estratégia para adequação da atualização da NBR 10004 (Ecotóxico)</t>
  </si>
  <si>
    <t>Execução das atividades em campo em atendimento ao Plano Diretor de Emissões Atmosféricas (Testes com polímeros, otimização de rota de caminhão pipa, etc)</t>
  </si>
  <si>
    <t>Jansley Rodart</t>
  </si>
  <si>
    <t>Implementar sistema de monitoramento online para acompanhar, em tempo real, a qualidade da água, utilizando tecnologias avançadas para garantir precisão e eficiência no processo.</t>
  </si>
  <si>
    <t>Realizar levantamento dos pontos críticos de monitoramento ambiental - Qualidade da água superficial, subterrânea</t>
  </si>
  <si>
    <t xml:space="preserve">Executar ações de melhoria dos pontos levantados nos pontos críticos de monitoramento ambiental - Qualidade da água superficial, subterranea </t>
  </si>
  <si>
    <t>Implementar sistema de monitoramento online para acompanhar, em tempo real, a qualidade do ar, utilizando tecnologias avançadas para garantir precisão e eficiência no processo.</t>
  </si>
  <si>
    <t>Luciano Marcelino</t>
  </si>
  <si>
    <t>Realizar cadastramento de Sistemas de Drenagem e criar Fluxograma esquemático das contribuições dos SUMP's nos cursos hídricos</t>
  </si>
  <si>
    <t>Realizar levantamento das informações para o PROVIAS (Mapeamento de asfalto, canaletas, guard rail, sinalizações, etc)</t>
  </si>
  <si>
    <t xml:space="preserve">Escrever pelo menos um artigo científico para avaliação interna </t>
  </si>
  <si>
    <t>Maryel Galvão</t>
  </si>
  <si>
    <t>Estruturar trabalho de campo com prioridades de atuação para execução do trabalho de cadastramento de Sistema de Drenagem e apresentar cronograma/planejamento de execução</t>
  </si>
  <si>
    <t>Estruturar trabalho de campo com prioridades de atuação para execução das atividades do Plano Diretor de Emissões Atmosféricas apresentar cronograma/planejamento de execução</t>
  </si>
  <si>
    <t>Implementar modelo de Governança de Gestão Hídrica</t>
  </si>
  <si>
    <t>Realizar GAP Analysis e propor Plano de Trabalho para adequação ao atendimento da NBR 10.004</t>
  </si>
  <si>
    <t>Realizar acompanhamento e monitoramento de desempenho contínuo, reportando  mensalmente relatório sobre a eficiência e a precisão do sistema em fornecer dados válidos e úteis dentro do período definido (monitoramento online de água)</t>
  </si>
  <si>
    <t>Realizar acompanhamento e monitoramento de desempenho contínuo, reportando  mensalmente, um relatório sobre a eficiência e a precisao do sistema em fornecer dados válidos e úteis dentro do período definido ( Monitoramento Online de Emissões)</t>
  </si>
  <si>
    <t xml:space="preserve">Realizar acompanhamento mensal da evolução das ações do GAP ANALYSIS - Plano Diretor de Resíduos </t>
  </si>
  <si>
    <t>Realizar monitoramentos diários de Turbidez e Salinidade</t>
  </si>
  <si>
    <t>Daniel</t>
  </si>
  <si>
    <t>Apoiar a atualização da base de APP (Vereda, Nascente e cursos hídricos) das propriedades.</t>
  </si>
  <si>
    <t>Apoiar Elaboração  Book ambiental dos teste DIEP(Heap Leaching)</t>
  </si>
  <si>
    <t>Acompanhamento In Loco da operaçáo da Planta Piloto de Tratabilidade de Efluente Salino</t>
  </si>
  <si>
    <t>Propor nova metodologia para controle de material particulado em vias não pavimentadas_GuilhermeMonteiro</t>
  </si>
  <si>
    <t>Gestão Ambiental de Fornecedores</t>
  </si>
  <si>
    <t>Implementar, executar e gerir processo de gestão ambiental documental e de desempenho operacional de empresas envolvidas nas obras de Complementação de Projeto</t>
  </si>
  <si>
    <t>Ana Clara</t>
  </si>
  <si>
    <t>Treinamentos Ambientais</t>
  </si>
  <si>
    <t>Desenvolver matriz de treinamentos ambientais aplicáveis por cargo e função SVPM, implementar e ministrar os treinamentos para capacitação</t>
  </si>
  <si>
    <t>Dar continuidade aos treinamentos ambientais para as equipes SVPM em 2026, seguindo o ciclo de treinamento.</t>
  </si>
  <si>
    <t>Relatório de Desempenho Ambiental</t>
  </si>
  <si>
    <t>Executar e consolidar sistemática de atualização e consolidação das informações para elaboração RDA 2026/2025_Ana Clara</t>
  </si>
  <si>
    <t>Desenvolver Guideline/Documento de Referência Interna de Gestão Ambiental conforme requisitos IFC, ISO e outros aplicáveis.</t>
  </si>
  <si>
    <t>Elaboração do Documento sua revisão e publicaçãoserão executados em 2026.</t>
  </si>
  <si>
    <t>Cumprir plano de licenciamento (ASV, Heap Leaching, renovação, integração)_AnaClara</t>
  </si>
  <si>
    <t>Desenvolver Masterplan de Licenciamento Ambiental da SVPM_AnaClara</t>
  </si>
  <si>
    <t>Desenvolver Masterplan de Licenciamento Ambiental da SVPM_AnnaLaura</t>
  </si>
  <si>
    <t>Cumprir plano de licenciamento (ASV, Heap Leaching, renovação, integração)_AnnaLaura</t>
  </si>
  <si>
    <t>Mirelly Martins</t>
  </si>
  <si>
    <t>Realizar mapeamento dos projetos realizados e listar em matriz de impacto quais trabalhos tem potencial para ser submetido</t>
  </si>
  <si>
    <t>Atividade</t>
  </si>
  <si>
    <t>Status da Atividade</t>
  </si>
  <si>
    <t>Data de Conclusão</t>
  </si>
  <si>
    <t>% Concluído</t>
  </si>
  <si>
    <t>Peso da tarefa</t>
  </si>
  <si>
    <t>Diagnóstico de recursos e planejamento de prioridades</t>
  </si>
  <si>
    <t xml:space="preserve">Organizado banco de dados </t>
  </si>
  <si>
    <t>Elaboração de escopo para contratação</t>
  </si>
  <si>
    <t>Escopo elaborado</t>
  </si>
  <si>
    <t>Contratação de empresa para levantamento de dados em campo</t>
  </si>
  <si>
    <t> </t>
  </si>
  <si>
    <t>Reunião de kick off com empresa</t>
  </si>
  <si>
    <t>Mobilização da empresa</t>
  </si>
  <si>
    <t>Realização do trabalho de campo</t>
  </si>
  <si>
    <t xml:space="preserve">Entrega preliminar </t>
  </si>
  <si>
    <t>Revisão da entrega</t>
  </si>
  <si>
    <t>Entrega final da base atualizada</t>
  </si>
  <si>
    <t>Diagnóstico das bases das propriedades incluindo atualização das APPs</t>
  </si>
  <si>
    <t xml:space="preserve">Atualização da base </t>
  </si>
  <si>
    <t>Reunião para apresentação da base atualizada para Gerencia de MA</t>
  </si>
  <si>
    <t>Aprovação do jurídico</t>
  </si>
  <si>
    <t>Atualização do CAR no SISCAR</t>
  </si>
  <si>
    <t>Alinhar toda equipe sobre o conceito do Indice de Maturidade Ambiental colher percepções e apresentar produto final esperado</t>
  </si>
  <si>
    <t xml:space="preserve">Elaborar racional sobre as métricas de avaliação de cada temática do IMA </t>
  </si>
  <si>
    <t xml:space="preserve">Realizar reuniões e validar com  focais dos temas Não conformidade, Requisitos Legais, Recursos Hídricos, Resíduos, Biodiversidade, PAE, Emissões e Recuperação de áreas degradadas </t>
  </si>
  <si>
    <t>Elaborar ferramentas de controle e divulgação do IMA</t>
  </si>
  <si>
    <t>Elaborar procedimento para gestão do IMA</t>
  </si>
  <si>
    <t>Apresentar para GMA procedimentos e ferramentas de gestão</t>
  </si>
  <si>
    <t>Realizar reuniões com as áreas operacionais para apresentação IMA e regras socioambientais</t>
  </si>
  <si>
    <t>Startar o IMA para as áreas</t>
  </si>
  <si>
    <t>Elaborar cronograma de acompanhamento do Rehabilitation projects phase II</t>
  </si>
  <si>
    <t>Foi elaborado e apresentado a gerência de MA o levantamento sobre todos os projetos Rehabilitation projects phase II</t>
  </si>
  <si>
    <t>Realizar reunião com equipe aplicando Ciclo PDCA para avaliação das oportunidades de 2025 frente ao acompanhamento 2024</t>
  </si>
  <si>
    <t>Elaborar modelo de acompanhamento do desenvolvimento do trabalho ao longo de 2025, de forma a integrar dados de turbidez, controles, reabilitação, pluviometria e consolida-los em informações para tomadas de decisão</t>
  </si>
  <si>
    <t>Elaborar mensalmente relatório estratégico com informações dos resultados do trabalho</t>
  </si>
  <si>
    <t>Apresentar resultados preliminares do trabalho realizado</t>
  </si>
  <si>
    <t>Realizar reunião técnica com equipe envolvida nos trabalhos apresentando os resultados e lições aprendidas de 2025 e oportunidades 2026</t>
  </si>
  <si>
    <t>Elaborar descrição dos itens que irão compor o Book Ambiental para acompanhamento e registro do desenvolvimento do Flow Sheat</t>
  </si>
  <si>
    <t>Elaborar cronograma em conjunto com Gerência e Estratégia para acompanhamento de projeto da parte estratégica e operacional</t>
  </si>
  <si>
    <t>Apresentar relatório final consolidando as informações referente ao acompanhamento Flow Sheat</t>
  </si>
  <si>
    <t>Realizar Work Shopp técnico com equipe envolvida no projeto para apresentação e discussões abertas sobre as lições aprendidas</t>
  </si>
  <si>
    <t>Elaboração de escopo com envio para suprimentos</t>
  </si>
  <si>
    <t>E-mail enviado para equipe técnica contribuir e na sequência enviado para validação de contrato.</t>
  </si>
  <si>
    <t>Contratar Consultoria</t>
  </si>
  <si>
    <t>Reunião de Kick off com empresa</t>
  </si>
  <si>
    <t>Desenvolver estudos conforme etapas e cronograma do projeto</t>
  </si>
  <si>
    <t>Entrega da primeira versão do Relatório Preliminar</t>
  </si>
  <si>
    <t xml:space="preserve">Revisar Relatório </t>
  </si>
  <si>
    <t>Apresentação Resultados Preliminares</t>
  </si>
  <si>
    <t>Escopo em fase de revisão/conclusão.  Ajuste para novo modelo MD enviado pela Gerência de Contratos</t>
  </si>
  <si>
    <t>Revisar Relatório Final</t>
  </si>
  <si>
    <t>Definir as diretrizes para a recuperação das áreas degradadas no contexto do empreendimento da Serra Verde Pesquisa e Mineração.</t>
  </si>
  <si>
    <t>Plano diretor PD-PRAD aprovado e concluido.</t>
  </si>
  <si>
    <t xml:space="preserve">Entrega do Plano Diretor de PRAD </t>
  </si>
  <si>
    <t xml:space="preserve">
Realização do Workshop</t>
  </si>
  <si>
    <t>Workshop pronto,material apresentado a gerencia e diretoria. Contudo foi cancelado por estratégia da Gerência.</t>
  </si>
  <si>
    <t>Realizar a entrega dos procedimentos derivados do Plano Diretor de PRAD</t>
  </si>
  <si>
    <t>Publicado PM Driver:  Plantio de Mudas Nativas para Recuperação de Áreas Degradadas , Hidrossemeadura e Bioengenharia para Recuperação de Áreas Degradadas. Elaborado Procedimento Uso e controle de espécies vegetais exóticas em projetos da SVPM e Controle Químico de Plantas Daninhas a ser aprovado no PM Driver.</t>
  </si>
  <si>
    <t>Levantar dados de campo e levantamento Bibliográfico</t>
  </si>
  <si>
    <t> Realizado levantamento bibliográfico e orientação para coleta de dados de campo do PRAD Piloto</t>
  </si>
  <si>
    <t>Realizar a entrega do documento inicial do protocolo de monitoramento</t>
  </si>
  <si>
    <t>Realizar capacitação técnica da equipe executora das atividades de PRAD</t>
  </si>
  <si>
    <t xml:space="preserve">Entrega Final do Protocolo de Monitoramento </t>
  </si>
  <si>
    <t>Definir as diretrizes para  Plano Diretor de Controles Ambientais no contexto do empreendimento da Serra Verde Pesquisa e Mineração.</t>
  </si>
  <si>
    <t>Diretrizes do Plano Diretor Elaboradas.</t>
  </si>
  <si>
    <t>Realizar a entrega dos procedimentos derivados do Plano Diretor de Controles Ambientais</t>
  </si>
  <si>
    <t>Entrega adiada para atender a finalização de revisão do documento mestre.</t>
  </si>
  <si>
    <t>Elaborar cronograma de treinamento das equipes de interface</t>
  </si>
  <si>
    <t xml:space="preserve">Devido ao adiamento estratégico do Workshop as equipes de interface não foram mobilizadas para treinamento. </t>
  </si>
  <si>
    <t>Entrega do Plano Diretor de Plano Diretor de Controles Ambientais e Realização do Workshop</t>
  </si>
  <si>
    <t>Plano Diretor Aprovado e concluído. Workshop pronto,material apresentado a gerencia e diretoria. Contudo foi cancelado por estratégia da Gerência.</t>
  </si>
  <si>
    <t>Planos Diretores</t>
  </si>
  <si>
    <t>Realizar a entrega do documento mestre Plano Diretor de Controles Ambientais</t>
  </si>
  <si>
    <t>Realizada entrega do documento com caracterização do empreendimento e início de definições das diretrizes.
Entrega parcial da segunda revisão do documento
Entrega dos mapas, indicadores e governança
Realizada entrega do Plano Diretor de Controles Ambientais e Documentos auxiliares</t>
  </si>
  <si>
    <t>Entrega adiada para atender a finalização de revisão do documento mestre</t>
  </si>
  <si>
    <t>Elaborar cronograma de treinamento das equipes operacionais nos procedimentos</t>
  </si>
  <si>
    <t>Equipes não foram mobilizadas</t>
  </si>
  <si>
    <t xml:space="preserve">Realizar capacitação técnica da equipe executora das atividades de controle ambiental </t>
  </si>
  <si>
    <t>Realizar levantamento topográfico detalhado das drenagens para definir os pontos de contribuição</t>
  </si>
  <si>
    <t>Recebida informações da equipe de topografia para modelagem</t>
  </si>
  <si>
    <t>Criar modelo de elevação e definir estratégia de investigação</t>
  </si>
  <si>
    <t>Criado o Modelo Digital de Elevação e canais de drenagem</t>
  </si>
  <si>
    <t>Realizar levatamento de campo das drenagens e pontos de contribuição de turbidez</t>
  </si>
  <si>
    <t>Criar fluxograma e mapa das contribuições de turbidez nas drenagens</t>
  </si>
  <si>
    <t>Levantar de tecnologias disponíveis</t>
  </si>
  <si>
    <t>Iniciadas pesquisas bibliográficas e benchmarking</t>
  </si>
  <si>
    <t>Realizar benchmarking</t>
  </si>
  <si>
    <t>Apresentar tecnologias para controle de erosão</t>
  </si>
  <si>
    <t>Testar nova tecnologia de controle de erosão</t>
  </si>
  <si>
    <t>Iniciadas pesquisas bibliográficas e benchmarking
Novos benchmarking e reunião planejada com geotecnia</t>
  </si>
  <si>
    <t>Apresentar tecnologias para controle de poeira em vias</t>
  </si>
  <si>
    <t>Testar novo método para controle de poeira em vias</t>
  </si>
  <si>
    <t>Solicitar a empresa responsável pela elaboração dos documentos a entrega dos documentos.</t>
  </si>
  <si>
    <t>Biota</t>
  </si>
  <si>
    <t>Avaliar o conteúdo e revisar os riscos (Se condiz com a nossa realidade).</t>
  </si>
  <si>
    <t>Um dos itens previstos no novo contrato de emergências é a revisão de tais documentos, onde após  finalizado o processo de contratação no início de 2026, os documentos passaram por nova revisão de empresa especializada.</t>
  </si>
  <si>
    <t>Solicitar a segurança a revisão no PAE da segurança.</t>
  </si>
  <si>
    <t>Entrega do PAE unificado</t>
  </si>
  <si>
    <t>Redefinir termos e conceitos da área de controles e criar os fluxos de informações e decisão da área de controles ambientais.</t>
  </si>
  <si>
    <t>Revisar todos os procedimentos, ferramentas(PM Driver) e check list.</t>
  </si>
  <si>
    <t>Definir de KPI’ s da área de controle.</t>
  </si>
  <si>
    <t>Os KPIs foram definidos, o procedimento interno foi revisado e aprovado gerencialmente. 
Vale ressaltar, que a classificação de gravidade de AA será revisado no início de 2026, com frente a equipe de SGI, com apoio das equipes de M.A operação e licenciamento, para alteração no procedimento normativo. Outro ponto que foi discutido é a exclusão do Ver e agir de Meio Ambiente, onde após decisão gerencial, o procedimento será revisado novamente e o KPI removido.
Para 2025, o que foi proposto atendeu a equipe de operação e as pontuações citadas acima serão realizadas no início de 2026, conforme alinhamentos e decisões entre equipes.</t>
  </si>
  <si>
    <t>Disponibilizar para consulta os dados de maneira rápida, clara, objetiva e com confiabilidade, através de um dashboard e realizar workshop</t>
  </si>
  <si>
    <t xml:space="preserve">Iniciadas pesquisas bibliográficas e benchmarking
</t>
  </si>
  <si>
    <t xml:space="preserve">Realizado benchmarking com fornecedores </t>
  </si>
  <si>
    <t>Realizado aplicação da tela de mosquiteiro e tela de sombrete no talude na área da mina. / Comclusão para 19/12/2025</t>
  </si>
  <si>
    <t xml:space="preserve">Definido os taludes de corte e aterro para teste </t>
  </si>
  <si>
    <t xml:space="preserve">Realizar levantamento de áreas de alto risco de vazamento </t>
  </si>
  <si>
    <t>A atividade foi finalizada devido à conclusão do levantamento e entrega das áreas classificadas como de alto risco de vazamento de óleo, contemplando tanto a planta quanto a mina</t>
  </si>
  <si>
    <t xml:space="preserve">Apresentar novos modelos de kits de emergencia ambiental </t>
  </si>
  <si>
    <t>Foi marcado um  benchmarking técnico com a empresa Toalim para o dia 10/11, com o objetivo de conhecer e avaliar soluções aplicáveis ao controle e tratamento de vazamentos de óleo em áreas operacionais da planta e da mina.</t>
  </si>
  <si>
    <t>Testar nova tecnologia de tratamento de controle da vazamento de óleo na planta e na mina.</t>
  </si>
  <si>
    <t xml:space="preserve">Realizado  benchmarking com a empresa DISOL ECO BRASIL para testar um produto que quebra as particulas de hidrocarboneto/ Fornecedor enviou uma amostra do produto para teste, assim que chegar o produto no site  SVPM iremos realizar uma teste operacional. </t>
  </si>
  <si>
    <t>A atividade foi finalizada devido à conclusão do levantamento e entrega das áreas classificadas como de alto risco de vazamento de óleo, contemplando tanto a planta quanto a mina.</t>
  </si>
  <si>
    <t>Benchmarking técnico com Toalim realizado em 10/11 para avaliação de soluções de controle e tratamento de óleo nas áreas operacionais da planta e da mina.</t>
  </si>
  <si>
    <t>Recebido os materiais da empresa Toalim. Está programada para o dia 15/12/25 a realização dos testes com os materiais, em conjunto com a equipe de manutenção da usina.</t>
  </si>
  <si>
    <t>Realizado planejamento das atividades junto equipe de Meio Ambiente Operação, pois é uma meta compartilhada.</t>
  </si>
  <si>
    <t>Realizado todo o levantamento e estruturação para continuidade da montagem do diagrama</t>
  </si>
  <si>
    <t>Realizado levantamento de campo dos pontos de contribuição para compor o diagrama</t>
  </si>
  <si>
    <t>Realizado um fluxograma da drenagem da Bacia do Rio Cana Brava</t>
  </si>
  <si>
    <t xml:space="preserve">Levantamento de técnicas de aplicáveis a fitofisionomia local </t>
  </si>
  <si>
    <t xml:space="preserve">Estudo bibliografico de tecnicas e normas de monitoramento. Elaboração da metodologia de monitoramento </t>
  </si>
  <si>
    <t>Listagem dos insumos a serem comprados para implementação e compra</t>
  </si>
  <si>
    <t> Todos os materiais e insumos já foram cadastrados para compra.  Atividade realizada em conjunto com Lucas Vilela e Leovigildo Santos.</t>
  </si>
  <si>
    <t xml:space="preserve">Implementação das técnicas </t>
  </si>
  <si>
    <t>Monitoramento dos resultados e Avaliação de custo-efetividade</t>
  </si>
  <si>
    <t>Iniciado monitoramento de plantio do prad piloto em comparativo as tecnicas a serem implementadas</t>
  </si>
  <si>
    <t>Estudo de literatura, artigos científicos e outros trabalhos referentes ao tema</t>
  </si>
  <si>
    <t>Pesquisa em estudos científicos e soluções de empresas que atuam com essa temática para a identificação de soluções que sejam eficientes na SVPM.</t>
  </si>
  <si>
    <t>Proposição de 04 novas soluções para o controle de sedimentos</t>
  </si>
  <si>
    <t>Implantação das duas  melhores soluções para o controle de sedimentos</t>
  </si>
  <si>
    <t>Acompanhamento do desempenho das soluções em campo</t>
  </si>
  <si>
    <t xml:space="preserve"> Avaliação de custo-efetividade</t>
  </si>
  <si>
    <t>Revisão bibliográfica</t>
  </si>
  <si>
    <t>Foi feita uma revisão bibliográfica de estudos científicos disponibilizados pelas plataformas Web Of Science e Scopus, selecionados os artigos de interesse para estudo e definição das premissas de realização do experimento.</t>
  </si>
  <si>
    <t>Elaboração da Metodologia e definição dos critérios de avaliação</t>
  </si>
  <si>
    <t>Já foi elaborada, falta a conclusão da aquisição de insumos para início da instalação do experimento.</t>
  </si>
  <si>
    <t>Todos os itens necessários já foram cadastrados para aquisição.</t>
  </si>
  <si>
    <t>Instalação do experimento</t>
  </si>
  <si>
    <t>A atividade é dependente da aquisição dos insumos do PRAD e Bioengenharia. Serão entregues à SVPM somente em janeiro de 2026.</t>
  </si>
  <si>
    <t>Monitoramento, manutenção e coleta de dados</t>
  </si>
  <si>
    <t>Elaboração de relatórios de monitoramento</t>
  </si>
  <si>
    <t>Análise de dados e interpretação dos resultados</t>
  </si>
  <si>
    <t>Elaboração de relatório técnico final</t>
  </si>
  <si>
    <t>Seleção de periódicos científicos e submissão do estudo para publicação</t>
  </si>
  <si>
    <t>Periódicos/revistas científicas selecionadas: 1) Revista Nativa (UFMT), 2) Revista Agroambiente (UFPR).</t>
  </si>
  <si>
    <t>Revisão Bibliográfica</t>
  </si>
  <si>
    <t>Revisão realizada para a definição da metodologia de monitoramento e dos dados a serem levantados.</t>
  </si>
  <si>
    <t>Levantamento de campo e sintetização dos dados</t>
  </si>
  <si>
    <t>Foi elaborado um protocolo de monitoramento de PRADs e realizado as primeiras etapas de monitoramento do RPAD Piloto.</t>
  </si>
  <si>
    <t>Elaboração do estudo</t>
  </si>
  <si>
    <t xml:space="preserve"> Com os dados de T0 (primeiro monitoramento) e T1 (segundo monitoramento) foi possível elaborar um manuscrito para submissão à revista científica para avaliação e futura publicação.</t>
  </si>
  <si>
    <t>Seleção de periódico científico e submissão do estudo para publicação</t>
  </si>
  <si>
    <t>Periódico/revista científica selecionada: Revista Nativa - UFMT. O trabalho foi escrito e enviado às gerências de Meio Ambiente  Ambiente e de Relações Institucionais e Responsabilidade Social
Responsabilidade Social Corporativa, para aprovação. Último status: aguardando a aprovação pela Gerência de Relações Institucionais e Responsabilidade Social
Responsabilidade Social Corporativa, para aprovação.</t>
  </si>
  <si>
    <t>Definição das temáticas principais a serem pesquisadas de acordo com as premissas do PRAD</t>
  </si>
  <si>
    <t>Com base em revisões bibliográficas e nas premissas do PD-PRAD, foram selecionadas as seguintes temáticas: 1) Eficiência da nucleação para o incremento da diversidade vegetal em PRAD, 2) Desenvolvimento inicial de mudas nativas do Cerrado plantadas em Topsoil, 3) Desenvolvimento de espécies arbóreas nativas plantadas via semeadura direta em PRAD de mineração, 4) Poleiros artificiais como estruturas de apoio à dispersão zoocórica de sementes nativas, 5) Transplantio de plantas herbáceas nativas para enriquecimento da diversidade funcional em PRAD</t>
  </si>
  <si>
    <t>Seleção de nomes de insituições e/ou pesquisadores que atuam nas temáticas pré-definidas</t>
  </si>
  <si>
    <t>Alguns pesquisadores já foram contactados para discussão sobre a possibilidade de parceria. Os pesquisadores serão do IFG, UEG ou UFG.</t>
  </si>
  <si>
    <t>Contato com as instituições e/ou pesquisadores</t>
  </si>
  <si>
    <t> Pesquisador Carlos de Melo e Silva-Neto: Biólogo, Mestre em Biodiversidade Vegetal, Doutor em Agronomia, Pós-doutor em Ciências Agrárias. Filiado à UEG, UFG e IFG.</t>
  </si>
  <si>
    <t>Firmar as parcerias e delimitar os possíveis estudos que podem ser realizados</t>
  </si>
  <si>
    <t>Em discussão com o Dr. Carlos de Melo e Silva-Neto para o desenvolvimento de metodologias para implantação de experimentos em campo.</t>
  </si>
  <si>
    <t>Elaborar metodologias e estimativas de prazos e custos</t>
  </si>
  <si>
    <t>Metodologia já em elaboração. Com a aquisição dos insumos será possível instalar experimentos em pequena escala para a melhoria dos métodos e estimativas mais eficientes dos custos.</t>
  </si>
  <si>
    <t>Executar experimento piloto e apresentar internamente os resultados</t>
  </si>
  <si>
    <t>Revisão sobre as soluções existentes que podem ser aplicáveis à SVPM</t>
  </si>
  <si>
    <t>Foi realizada uma pesquisa sobre as soluções para o controle de sedimentos. As informações ainda estão sendo sintetizadas para realização das etapas seguintes de avaliação e proposição.</t>
  </si>
  <si>
    <t>Avaliação das metodologias e viabilidade técnica-financeira das soluções</t>
  </si>
  <si>
    <t>Com base na revisão realizada foi feita uma pré-seleção de possíveis soluções.</t>
  </si>
  <si>
    <t>Foi feito um levantamento bibliográfico e técnico para a seleção das 4 soluções.</t>
  </si>
  <si>
    <t>Implantação em campo de ao menos 02 soluções para o controle de sedimentos</t>
  </si>
  <si>
    <t>Foram selecionadas a construção de paliçadas e a proteção de taludes com aplicação de solarização para a supressão de plantas invasoras. Ambas as soluções empregaram a reutilização de lonas de filtragem.</t>
  </si>
  <si>
    <t>O acompanhamento em campo ainda está em andamento.</t>
  </si>
  <si>
    <t>Elaboração e apresentação de relatório técnico, com considerações sobre a aplicabilidade das soluções em maior escala</t>
  </si>
  <si>
    <t>A ser apresentado somente em 2026, após uma parte do período chuvoso.</t>
  </si>
  <si>
    <t>Revisar os planos de acordo com a realidade e adequações do projeto</t>
  </si>
  <si>
    <t>Realizar auditoria semestral com as áreas operantes (Cetras, Ambulatório, Parex, Máxima). 2º semestre – Dezembro 25</t>
  </si>
  <si>
    <t>Trabalho contínuo de implementação que será mantido para 2026 conforme cenário da Serra Verde.</t>
  </si>
  <si>
    <t>Levantar os pontos exigidos do programa e implementar nas áreas junto com a empresa gerenciadora</t>
  </si>
  <si>
    <t>Levantar os requisitos da nova versão da NBR 10.004 e comparar com práticas atuais</t>
  </si>
  <si>
    <t>Identificar lacunas e impactos na gestão de resíduos</t>
  </si>
  <si>
    <t xml:space="preserve">Elaborar Plano de Trabalho </t>
  </si>
  <si>
    <t>Apresentação do diagnóstico e plano de ação</t>
  </si>
  <si>
    <t xml:space="preserve">Acompanhar avanço do atendimento das ações do GAP Analysis </t>
  </si>
  <si>
    <t>Acompanhar a implementação do PGRS piloto</t>
  </si>
  <si>
    <t>A implementação do plano piloto foi realizada, porém, em função de restrião dos dados não pode ser concluída.</t>
  </si>
  <si>
    <t>Acompanhar o monitoramento da homologação dos fornecedores</t>
  </si>
  <si>
    <t>Além do acompanhamento da homologação da Máxima, foi realizado o monitoramento dos documentos das empresas responsáveis pela destinação final contratadas pela Máxima, bem como das empresas arrematantes de resíduos provenientes dos leilões</t>
  </si>
  <si>
    <t>Acompanhar a regularização legal das áreas críticas</t>
  </si>
  <si>
    <t>Estruturar Plano de execução (Metodologia e cronograma de execução)</t>
  </si>
  <si>
    <t>Buscar empresa especialista para realização de analises e relatorios</t>
  </si>
  <si>
    <t>Avaliar custo e buscar recurso</t>
  </si>
  <si>
    <t>Desenvolvimento de banco de dados com registro de informações do estudo.</t>
  </si>
  <si>
    <t>Foi desenvolvido um modelo de banco de dados</t>
  </si>
  <si>
    <t>Buscar instituições/ criadores conservacionistas, para destinação de animais sem condições de retorno a natureza e confeccionar carta de aceite.</t>
  </si>
  <si>
    <t> Parceria com mantenedor de fauna sem carta de aceite.</t>
  </si>
  <si>
    <t>Avaliar custo e programar recurso</t>
  </si>
  <si>
    <t> Realizado levantamento de custos.</t>
  </si>
  <si>
    <t>Buscar potenciais parceiros (universidades e pesquisadores independentes) para produção de materiais  cientificos.</t>
  </si>
  <si>
    <t>Firmada parceira com pesquisador Zenilton, da Embrapa.</t>
  </si>
  <si>
    <t>Estruturar Plano de execução do monitoramento de passagens de fauna</t>
  </si>
  <si>
    <t> 24/07/2025</t>
  </si>
  <si>
    <t>Realizado plano de trabalho.</t>
  </si>
  <si>
    <t>Aplicar  estrategias</t>
  </si>
  <si>
    <t>Realização do monitoramento.</t>
  </si>
  <si>
    <t>Consolidar banco de dados e  relatorio</t>
  </si>
  <si>
    <t>O controle é realizado através de uma planilha.</t>
  </si>
  <si>
    <t>Alimentar Dashboard de indicadores  Power Bi</t>
  </si>
  <si>
    <t>Foi criado.</t>
  </si>
  <si>
    <t>Levantar todas as possibilidades de fornecimento de suprimentos com recursos internos e suas aplicações</t>
  </si>
  <si>
    <t>Levantamento das informações em bancos de dados de inventários florestais, mapeamento das diferentes fitofisionomias da ADA, elaboração dos planos.</t>
  </si>
  <si>
    <t>Desenvolver plano de suprimentos com base na capacidade de geraçaõ e utilização dos insumos gerados</t>
  </si>
  <si>
    <t>Validar Plano junto a gerência de Meio Ambiente</t>
  </si>
  <si>
    <t>Apresentado e aprovado pela Gerência.</t>
  </si>
  <si>
    <t>Apresentar plano estratégico de suprimentos para equipes evolvidas</t>
  </si>
  <si>
    <t>Apresentado a todas as equipes durante a Mostra Científica e também em Reunião ESG.</t>
  </si>
  <si>
    <t>Monitoramento</t>
  </si>
  <si>
    <t>Estruturar plano de monitoramento</t>
  </si>
  <si>
    <t>Avaliar custo e definir estrategias (cronograma de  execução)</t>
  </si>
  <si>
    <t>Iniciar monitoramento</t>
  </si>
  <si>
    <t> 06/03/2025</t>
  </si>
  <si>
    <t>Alimentação de banco de dados e Power bi</t>
  </si>
  <si>
    <t>Monitorar e acompanhar desempenho das ações</t>
  </si>
  <si>
    <t>Definir  especies alvo</t>
  </si>
  <si>
    <t> 12/03/2025</t>
  </si>
  <si>
    <t>  Acervo inicial concluído (enriquecimento de acervo durante a vida útil do projeto)</t>
  </si>
  <si>
    <t>coletar, triar e fixar especimes coletatos</t>
  </si>
  <si>
    <t> 09/07/2025</t>
  </si>
  <si>
    <t>Identificar  e catalogar em Banco de registro</t>
  </si>
  <si>
    <t>Seguir  estrategias definidas no Procedimento de operação do CETRAS</t>
  </si>
  <si>
    <t>Garantir provisionamento de custos com alimentação, medicação e insumos dos CETRAS</t>
  </si>
  <si>
    <t> 02/01/2025</t>
  </si>
  <si>
    <t> Esses custos foram incluídos no orçamento, que reservou R$ 72.000 por ano para insumos e medicamentos veterinários e R$ 72.000 para a alimentação dos animais.</t>
  </si>
  <si>
    <t>Realizar controle de vencimento das medicações e insumos</t>
  </si>
  <si>
    <t> 10/12/2025</t>
  </si>
  <si>
    <t> O controle é realizado através de uma planilha.</t>
  </si>
  <si>
    <t>Definir cronograma macro de execução das campanhas</t>
  </si>
  <si>
    <t>concluída.</t>
  </si>
  <si>
    <t xml:space="preserve">Solicitar aos executores, Planejamento de execução do monitoramento campanha 01/25 (cronograma Micro) com 30 dias de antecedencias, </t>
  </si>
  <si>
    <t>Atendido.</t>
  </si>
  <si>
    <t>Verificar condições de acessos e Armadilhas</t>
  </si>
  <si>
    <t>As intervenções foram realizadas apenas nos trechos mais críticos, devido à impossibilidade de atendimento integral pela equipe de Infraestrutura.</t>
  </si>
  <si>
    <t xml:space="preserve">Solicitar aos executores, Planejamento de execução do monitoramento campanha 02/25 (cronograma Micro) com 30 dias de antecedencias, </t>
  </si>
  <si>
    <t> 31/01/2025</t>
  </si>
  <si>
    <t xml:space="preserve">Solicitar aos executores, Planejamento de execução do monitoramento campanha 03/25 (cronograma Micro) com 30 dias de antecedencias, </t>
  </si>
  <si>
    <t> 18/07/2025</t>
  </si>
  <si>
    <t xml:space="preserve">Solicitar aos executores , Planejamento de execução do monitoramento campanha 04/25 (cronograma Micro) com 30 dias de antecedencias, </t>
  </si>
  <si>
    <t> 17/09/2025</t>
  </si>
  <si>
    <t>Acompanhar execução das atividades</t>
  </si>
  <si>
    <t>Definir Plano de implantação de Meliponario</t>
  </si>
  <si>
    <t>Licenciar Meliponario</t>
  </si>
  <si>
    <t>Adquirir insumos, materiais e  equipamentos</t>
  </si>
  <si>
    <t> Todos os materiais foram solicitados através do Protheus</t>
  </si>
  <si>
    <t>Implantar estruras fisicas conforme projeto licenciado</t>
  </si>
  <si>
    <t xml:space="preserve">Aloucar ninhos de abelhas resgatados, </t>
  </si>
  <si>
    <t>Monitorar ninhos de abelhas</t>
  </si>
  <si>
    <t> 18/12/2025</t>
  </si>
  <si>
    <t>Desenvolver procedimento de  execução do monitoramento do impacto do sal na fauna</t>
  </si>
  <si>
    <t>Executar Procedimento metodologico definido</t>
  </si>
  <si>
    <t>Planejamento e Preparação das atividades</t>
  </si>
  <si>
    <t>Realizado alinhamento junto equipe para repasse das atividades</t>
  </si>
  <si>
    <t>Implementação das Ações de Controle - Testes</t>
  </si>
  <si>
    <t>Foram realizados dois testes em campo com empresas distintas que forneceram polímeros para aplicação em vias não pavimentadas. As informações foram compiladas e apenas última apresentação para a gerência para apresentação da estimativa de budget.</t>
  </si>
  <si>
    <t xml:space="preserve">Relatório Executivo dos testes realizados </t>
  </si>
  <si>
    <t>Etapa concluída, após realização dos testes foram elaborados relatórios e apresentações dos resultados para a gerência.</t>
  </si>
  <si>
    <t>Apresentação para partes interessadas</t>
  </si>
  <si>
    <t xml:space="preserve">Apresentação do material para a gerência. Também foram apresentados os resultados do último teste na 1° Mostra Científica de Meio Ambiente </t>
  </si>
  <si>
    <t>Avaliação Final e Próximos Passos</t>
  </si>
  <si>
    <t>Os resultados foram apresentados para os tomadores de decisão e foi previsto no orçamento 2026.</t>
  </si>
  <si>
    <t>Planejamento e Seleção do Tema</t>
  </si>
  <si>
    <t>Realizado levantamento dos temas para submissão de trabalhos</t>
  </si>
  <si>
    <t>Coleta e Análise de Dados</t>
  </si>
  <si>
    <t>Estrutura dos trabalhos levantados e base de dados organizadas</t>
  </si>
  <si>
    <t>Redação do Artigo/ Trabalho Científico</t>
  </si>
  <si>
    <t>Apresentação de trabalho em Catalão-GO e no Congresso Internacional de Água Subterrânea em Belo Horizonte-MG.</t>
  </si>
  <si>
    <t>Revisão por pares e ajustes</t>
  </si>
  <si>
    <t>Submissão e Acompanhamento</t>
  </si>
  <si>
    <t xml:space="preserve">Planejamento e Organização </t>
  </si>
  <si>
    <t>Material do Planejamento e Organização na rede do Meio Físico</t>
  </si>
  <si>
    <t>Estruturação do Plano</t>
  </si>
  <si>
    <t>Etapa concluída.</t>
  </si>
  <si>
    <t xml:space="preserve">Consulta e Refinamento </t>
  </si>
  <si>
    <t>Finalização e Entrega</t>
  </si>
  <si>
    <t>Material completo no drive. https://mineracaoserraverde.sharepoint.com/:f:/s/SVEnvironment/IgBl9Xvur_0eQ6QVcaidP_AWATASd17a987HEAqWe7YlrCA?e=yxaPNb</t>
  </si>
  <si>
    <t>Planejamento e Revisão dos documentos</t>
  </si>
  <si>
    <t>Realizado reunião de alinhamento, handover com equipe e planejamento das atividades</t>
  </si>
  <si>
    <t>Detalhar programas e Ações de Gestão de Resíduos</t>
  </si>
  <si>
    <t>Realizado planejamento prévio das atividades a serem executadas</t>
  </si>
  <si>
    <t xml:space="preserve">Estruturar o Processo de Implantação </t>
  </si>
  <si>
    <t>Realizado estruturação de acompanhamento. Definido que a Geovanna irá acompanhar as ações junto equipe da Máxima e Facilities</t>
  </si>
  <si>
    <t>Capacitar Equipe</t>
  </si>
  <si>
    <t xml:space="preserve">Treinamentos realizados - Geovanna evidenciar treinamentos </t>
  </si>
  <si>
    <t>Engajar Steakholders Internos e Externos</t>
  </si>
  <si>
    <t> 	
Além de reuniões e visitas técnicas regulares, foi apresentado na 1° Mostra Científica de Meio Ambiente, os resultados preliminares do Plano Diretor de Resíduos, como forma de engajar as partes interessadas</t>
  </si>
  <si>
    <t xml:space="preserve">Implantação Gradual </t>
  </si>
  <si>
    <t xml:space="preserve">Avaliação e Consolidação </t>
  </si>
  <si>
    <t>Planejamento e Diagnóstico</t>
  </si>
  <si>
    <t xml:space="preserve">Realizado Planejamento e desdobramento das informações necessárias para atendimento do Plano de Trabalho </t>
  </si>
  <si>
    <t>Definição e Diretrizes Estratégicas</t>
  </si>
  <si>
    <t xml:space="preserve">Realizado Definição e Diretrizes Estratégicas </t>
  </si>
  <si>
    <t>Estudos e Análises Técnicas</t>
  </si>
  <si>
    <t>Planejamento de Ações de Adequação</t>
  </si>
  <si>
    <t>Realizado levantamento de todos os resíduos gerados na SVPM, levando em consideração o inventário de resíduos, uma avaliação prévia de todos quanto a sua classificação de acordo com a nova ABNT NBR 10004 e definida estratégia para contratação de empresa especializada na caracterização dos resíduos que realmente precisam ser realizadas.</t>
  </si>
  <si>
    <t>Validação e Apresentação da Estratégia</t>
  </si>
  <si>
    <t>Apresentado material para a gerência, dos riscos envolvidos para o negócio e quais os próximos passos envolvidos.</t>
  </si>
  <si>
    <t>Elaborar Diagnóstico e Prognóstico de Recursos Hídricos nos aspectos qualitativos e quantitativos, influindo oferta e vulnerabilidades;</t>
  </si>
  <si>
    <t>Relatório consolidado enviado para revisão. Encontra-se na rede, pasta do Plano Diretor de Águas (PDA)
\02 - Meio Ambiente\07 - Atividades\64 - Plano Diretor de Aguas\01.CRONO\02.ENTREGAS_CRONO</t>
  </si>
  <si>
    <t>Consolidar e Integrar dados obtidos nas etapas de diagnóstico e prognóstico;</t>
  </si>
  <si>
    <t>Avaliar metas do Plano de Recursos Hídricos da Bacia Hidrográfica no contexto do prognóstico;</t>
  </si>
  <si>
    <t xml:space="preserve">Material recebido 11/03. RELATÓRIO DA AVALIAÇÃO DAS METAS DO PLANO ESTADUAL DE RECURSOS HÍDRICOS NO CONTEXTO DO PROGNÓSTICO DA SVPM
\SV Environment - Documentos\07 - Atividade\64 - Plano Diretor de Aguas\01.CRONO\02.ENTREGAS_CRONO </t>
  </si>
  <si>
    <t>Realizar Análise de Risco relacionada ao tema (Gestão Hídrica) para o empreendimento</t>
  </si>
  <si>
    <t>Material recebido: RELATÓRIO DA AVALIAÇÃO E HIERARQUIZAÇÃO DOS
RISCOS HÍDRICOS 
https://mineracaoserraverde.sharepoint.com/:b:/s/SVEnvironment/EfiXhyO0Z5tOq2I5p9fm4RUBMzwJTCGE0MyeuWaHlFTfSg?e=de6ouw</t>
  </si>
  <si>
    <t>Definir hierarquização das ações de acordo com resultados da análise de risco</t>
  </si>
  <si>
    <t>Material Recebido:
https://mineracaoserraverde.sharepoint.com/:b:/s/SVEnvironment/EfiXhyO0Z5tOq2I5p9fm4RUBMzwJTCGE0MyeuWaHlFTfSg?e=de6ouw</t>
  </si>
  <si>
    <t>Elaboração de matriz de oportunidade para ações de gestão hídrica;</t>
  </si>
  <si>
    <t>Material atualizado -</t>
  </si>
  <si>
    <t>Propor modelo de comunicação interna e externa de dados de gestão hídrica;</t>
  </si>
  <si>
    <t>Propor escopos de monitoramentos ambientais</t>
  </si>
  <si>
    <t>Material recebido  SVPM\SV Environment - Documentos\07 - Atividade\64 - Plano Diretor de Aguas\01.CRONO\02.ENTREGAS_CRONO</t>
  </si>
  <si>
    <t xml:space="preserve">Elaborar Plano Diretor de Águas do empreendimento, contendo as ações, indicadores e metas para horizonte temporal </t>
  </si>
  <si>
    <t>Primeira versão entregue, material na rede, pasta da CRONO, conforme acima</t>
  </si>
  <si>
    <t>Propor modelo de governança de Gestão Hídrica na Mineração SVPM;</t>
  </si>
  <si>
    <t>Elaborar banco de dados estruturado e georreferenciado de dados, modelo de dashboard (Power Bi) e de reportes estratégicos sobre o tema;</t>
  </si>
  <si>
    <t>Item em atraso devido alterações nas propostas iniciais do modelo, sistema complexo que requer mais tempo para personalização solicitada. Entrega prevista para o primeiro trimestre de 2026.</t>
  </si>
  <si>
    <t>Realizado planejamento das atividades ( Primeiro teste será realizado no dia 10/03 com empresa IQR</t>
  </si>
  <si>
    <t>Inicio do acompanhamento dos testes em campo - 17/03, programado novos testes com outro fornecedor, 23/04. Testes realizados ( IQR e ECOAR)</t>
  </si>
  <si>
    <t>Material do primeiro teste validado e apresentado para a gerência. Segundo teste teve acompanhamento mas material foi produzido pela equipe de Meio Ambiente Operação.</t>
  </si>
  <si>
    <t xml:space="preserve">Primeira parte apresentada </t>
  </si>
  <si>
    <t>Monitoramento Ambiental</t>
  </si>
  <si>
    <t>Realizar levantamento dos recursos para construção das bases de infra</t>
  </si>
  <si>
    <t>Realizado levantamento dos recursos</t>
  </si>
  <si>
    <t>Execução das limpezas nas áreas</t>
  </si>
  <si>
    <t>Concluido</t>
  </si>
  <si>
    <t>Execução das bases de concreto</t>
  </si>
  <si>
    <t>Executado todos os pontos. O último que estava pendente era o PAS 18, foi realizado dia 14/02</t>
  </si>
  <si>
    <t xml:space="preserve">Acompanhamento na instalação das estruturas </t>
  </si>
  <si>
    <t>Instalado todos os pontos (28/03)</t>
  </si>
  <si>
    <t xml:space="preserve">Planejamento de Levantamento das Informações </t>
  </si>
  <si>
    <t>Realizado alinhamento sobre o levantamento das informações necessárias e planejamento das atividades em campo, definida para início no dia 03/02.</t>
  </si>
  <si>
    <t>Execucão do Levantamento de Campo</t>
  </si>
  <si>
    <t xml:space="preserve">Realizado levantamento em campo </t>
  </si>
  <si>
    <t>Anáilise e Priorização dos Pontos Críticos</t>
  </si>
  <si>
    <t>Realizado priorização dos pontos</t>
  </si>
  <si>
    <t>Consolidação e Apresentação do Levantamento</t>
  </si>
  <si>
    <t>Realizado apresentação do material consolidado</t>
  </si>
  <si>
    <t>Etapa concluída</t>
  </si>
  <si>
    <t xml:space="preserve">Execução das bases de concreto/ cercamento dos locais </t>
  </si>
  <si>
    <t>Realizado a base de 60 x 60 no dia 14/03</t>
  </si>
  <si>
    <t>Realizado instalação do mastro</t>
  </si>
  <si>
    <t>Recursos Hídricos</t>
  </si>
  <si>
    <t xml:space="preserve">Levantamento de Campo </t>
  </si>
  <si>
    <t>Análise de dados e Organização</t>
  </si>
  <si>
    <t>Definido tema que será abordado (PDA )</t>
  </si>
  <si>
    <t>Dados consolidados e estruturados.</t>
  </si>
  <si>
    <t>Ação postergada devido outras prioridades e também devido Férias. Data postergada para 15/07.</t>
  </si>
  <si>
    <t xml:space="preserve">Trabalho apresentado na 1° Mostra Científica de Meio Ambiente , realizada em agosto </t>
  </si>
  <si>
    <t xml:space="preserve">Realizado reunião de repasse do planejamento </t>
  </si>
  <si>
    <t>Realização do GAP Analysis</t>
  </si>
  <si>
    <t>Realizado levantamento dos itens prioritários e plano de ação para classificação</t>
  </si>
  <si>
    <t>Proposição do Plano de Trabalho</t>
  </si>
  <si>
    <t>Plano de trabalho apresentado e inicio das classificações dos resíduos. Trabalho concluído e apresentado na 1° Mostra de Meio Ambiente. Material na rede (https://mineracaoserraverde.sharepoint.com/:f:/s/SVEnvironment/IgCsnD4Wi8WJTqgVyavxISTzAWspI9NbTj1EdjhiJKCRH1c?e=4fWkhz)</t>
  </si>
  <si>
    <t>Repasse das informações e dos materiais para serem lidos/avaliados.</t>
  </si>
  <si>
    <t xml:space="preserve">Diagnóstico e Levantamento das Informações </t>
  </si>
  <si>
    <t>Material de acompanhamento na rede (https://mineracaoserraverde.sharepoint.com/:f:/s/SVEnvironment/IgCkZmOn-9hdS4hhx9mrHhGMAYW8LFJUQUWjjalFS_T1Pms?e=3JDaNb)</t>
  </si>
  <si>
    <t xml:space="preserve">Desenvolvimento do Modelo de Governança </t>
  </si>
  <si>
    <t>Modelo de governança hídrica no drive.</t>
  </si>
  <si>
    <t xml:space="preserve">Implementação do Modelo de Governança </t>
  </si>
  <si>
    <t>Material na rede (https://mineracaoserraverde.sharepoint.com/:f:/s/SVEnvironment/IgCkZmOn-9hdS4hhx9mrHhGMAYW8LFJUQUWjjalFS_T1Pms?e=3JDaNb)</t>
  </si>
  <si>
    <t>Monitoramento e Ajustes</t>
  </si>
  <si>
    <t>Material entregue e revisado na rede. Item sob responsabilidade do Nelson Bolotari devido atualização e distribuição das atividades internas. Na realidade não foi realizado a Implementação do Sistema de Governança Hídrica e sim a Estruturação do Modelo.</t>
  </si>
  <si>
    <t>Planejamento das atividades</t>
  </si>
  <si>
    <t>Realizado planejamento das atividades</t>
  </si>
  <si>
    <t>Iniciar coleta de dados conforme metodologia</t>
  </si>
  <si>
    <t xml:space="preserve">Repasse da metodologia e modelo de como será o repasse das informações </t>
  </si>
  <si>
    <t xml:space="preserve">Analisar os dados coletados mensalmente </t>
  </si>
  <si>
    <t>Realizado fora do prazo devido férias</t>
  </si>
  <si>
    <t xml:space="preserve">Comparar os resultados com os KPIs definidos </t>
  </si>
  <si>
    <t>Atividade rotineira mensal.</t>
  </si>
  <si>
    <t xml:space="preserve">Identificar quaisquer anomalias ou desvios </t>
  </si>
  <si>
    <t>Preparar relatório detalhado sobre eficiencia e a precisão do sistema</t>
  </si>
  <si>
    <t>Relatórios evidenciados na rede. https://mineracaoserraverde.sharepoint.com/:f:/s/SVEnvironment/IgAPW1iDcVNSRJoWE4n4YQOsAQU9kwDoq6YKyVNVtq-8IoQ?e=JgdvPN</t>
  </si>
  <si>
    <t xml:space="preserve">Compilar informações em formato de relatório anual </t>
  </si>
  <si>
    <t>Relatório mensal evidenciado em https://mineracaoserraverde.sharepoint.com/:f:/s/SVEnvironment/IgAPW1iDcVNSRJoWE4n4YQOsAQU9kwDoq6YKyVNVtq-8IoQ?e=JgdvPN</t>
  </si>
  <si>
    <t xml:space="preserve">Propor melhorias para o próximo ciclo de monitoramentos </t>
  </si>
  <si>
    <t>Evidencias registradas https://mineracaoserraverde.sharepoint.com/:f:/s/SVEnvironment/IgAPW1iDcVNSRJoWE4n4YQOsAQU9kwDoq6YKyVNVtq-8IoQ?e=JgdvPN</t>
  </si>
  <si>
    <t xml:space="preserve">Atividade concluída </t>
  </si>
  <si>
    <t>Atividade concluída. Informações na rede (https://mineracaoserraverde.sharepoint.com/:f:/s/SVEnvironment/IgCGy7Zu6VYsQb8u8WT81RirAQwVxl9ayeaz_XjOJRyBO3k?e=gRalak)</t>
  </si>
  <si>
    <t>Mensalmente realizado alinhamento de performance do equipamento, tendo em vista as horas disponíveis dos equipamentos. (https://mineracaoserraverde.sharepoint.com/:f:/s/SVEnvironment/IgCGy7Zu6VYsQb8u8WT81RirAQwVxl9ayeaz_XjOJRyBO3k?e=gRalak)</t>
  </si>
  <si>
    <t>No relatório mensal é realizado o comparativo com as legislações pertinentes. Os documentos estão salvos na rede (DOCUMENTOS / GESTÃO AMBIENTAL / Meio Físico / Monitoramentos / Controles de emissões atmosféricas e qualidade do ar / 2025 / Monitoramento online</t>
  </si>
  <si>
    <t>Item avaliado diariamente e comunicado com empresa através de grupo de WhatsApp para otimização e celeridade na resolução dos problemas.</t>
  </si>
  <si>
    <t>Relatório consolidado em (https://mineracaoserraverde.sharepoint.com/:f:/s/SVEnvironment/IgAtEkwOv4LYTYhNsNu0zXCjAfQR2EL3at_5xOllihNsoJY?e=EgM82Y)</t>
  </si>
  <si>
    <t>Material consolidado utilizado nos relatórios consolidados para atendimento do RDA (https://mineracaoserraverde.sharepoint.com/:f:/s/SVEnvironment/IgDC3JMummfiTaPqKiRcwCmEAeYAddKYzv6IvmwfVZ8ZUbY?e=eBl24V)</t>
  </si>
  <si>
    <t>Proposição das melhorias discutidas ao longo dos meses, evidenciado no relatório de evidências.</t>
  </si>
  <si>
    <t>Iniciar a coleta de dados conforme a metodologia definida.</t>
  </si>
  <si>
    <t>Realizado reunião de alinhamento e handover com equipe e planejamento das atividades</t>
  </si>
  <si>
    <t>Monitorar continuamente a evolução das ações do GAP Analysis.</t>
  </si>
  <si>
    <t>Definido planejamento para acompanhamento contínuo do GAP ANALYSIS</t>
  </si>
  <si>
    <t>Analisar os dados coletados durante o mês.</t>
  </si>
  <si>
    <t>Comparar os resultados com os KPIs estabelecidos.</t>
  </si>
  <si>
    <t xml:space="preserve"> Identificar quaisquer desvios ou áreas que necessitem de ajustes.</t>
  </si>
  <si>
    <t xml:space="preserve">Relatório Mensal - </t>
  </si>
  <si>
    <t>Relatório do RDA evidencia essas informações</t>
  </si>
  <si>
    <t>Revisão e Ajustes </t>
  </si>
  <si>
    <t xml:space="preserve">Relatório Final </t>
  </si>
  <si>
    <t xml:space="preserve">Mensalmente realizar registro fotográfico da via de acesso </t>
  </si>
  <si>
    <t>Iniciado atividade de registro fotográfico para compor o PROVIAS . Evidências salvas na rede (https://mineracaoserraverde.sharepoint.com/:f:/s/SVEnvironment/IgDBSdjxKw6YSqIAGONULcUZAZl_uywoComSjuypPW-M1-s?e=hlL8dQ)</t>
  </si>
  <si>
    <t xml:space="preserve">Mensalmente realizar relatório com evidencias fotográficas das atividades realizadas nas vias de acesso </t>
  </si>
  <si>
    <t>Evidências registradas. (https://mineracaoserraverde.sharepoint.com/:f:/s/SVEnvironment/IgDBSdjxKw6YSqIAGONULcUZAZl_uywoComSjuypPW-M1-s?e=hlL8dQ)</t>
  </si>
  <si>
    <t xml:space="preserve">Realizar levantamento das quilometragens de canaletas, guard rail, asfalto </t>
  </si>
  <si>
    <t>Material atualizado encaminhado (https://mineracaoserraverde.sharepoint.com/:f:/s/SVEnvironment/IgDBSdjxKw6YSqIAGONULcUZAZl_uywoComSjuypPW-M1-s?e=hlL8dQ)</t>
  </si>
  <si>
    <t>Compilar informações em relatórios semestrais - SEMESTRE 1</t>
  </si>
  <si>
    <t>Material atualizado na rede (https://mineracaoserraverde.sharepoint.com/:f:/s/SVEnvironment/IgDBSdjxKw6YSqIAGONULcUZAZl_uywoComSjuypPW-M1-s?e=hlL8dQ)</t>
  </si>
  <si>
    <t>Compilar informações em relatórios semestrais - SEMESTRE 2</t>
  </si>
  <si>
    <t>Material consolidado na rede. (https://mineracaoserraverde.sharepoint.com/:f:/s/SVEnvironment/IgDBSdjxKw6YSqIAGONULcUZAZl_uywoComSjuypPW-M1-s?e=hlL8dQ)</t>
  </si>
  <si>
    <t>Levantamento dos recursos necessários</t>
  </si>
  <si>
    <t>Item entregue. Material consolidado</t>
  </si>
  <si>
    <t>Execução das melhorias por prioridade</t>
  </si>
  <si>
    <t>Ação reprogramada para o ano que vem</t>
  </si>
  <si>
    <t>Acompanhamento das melhorias</t>
  </si>
  <si>
    <t xml:space="preserve">Relatório das melhorias </t>
  </si>
  <si>
    <t>Planejamento e Preparação das atividades - Revisar documentos e Informações existentes</t>
  </si>
  <si>
    <t>Definir metodologia</t>
  </si>
  <si>
    <t>Realizado definição de metodologia para execução das atividades.</t>
  </si>
  <si>
    <t>Estruturação das prioridades e Cronograma de campo</t>
  </si>
  <si>
    <t xml:space="preserve">Aguardando material da topografia para estruturação do trabalho de campo. Atraso no repasse das informações </t>
  </si>
  <si>
    <t>Execução do trabalho de campo</t>
  </si>
  <si>
    <t xml:space="preserve">Inicio das atividades </t>
  </si>
  <si>
    <t>Consolidação e Apresentação dos resultados</t>
  </si>
  <si>
    <t>Planejamento e Organização</t>
  </si>
  <si>
    <t xml:space="preserve">Estabelecido priorização das atividades. No dia 10/03 agendado primeiro teste com polímeros </t>
  </si>
  <si>
    <t>Priorização das Áreas</t>
  </si>
  <si>
    <t>Execução dos trabalhos de campo</t>
  </si>
  <si>
    <t>Primeiro teste realizado 17/03. Próximo teste agendado para 23/04. Realizado o segundo teste no período de 05 a 14/05.</t>
  </si>
  <si>
    <t> Apresentado resultados do primeito teste. O segundo teste foi guiado pela equipe de Meio Ambiente Operação.</t>
  </si>
  <si>
    <t>Revisar as informações geoespaciais e definir quais são definitivas para importação ao banco de dados futuro</t>
  </si>
  <si>
    <t xml:space="preserve">Avaliar e buscar empresas parceiras para armazenamento das informações </t>
  </si>
  <si>
    <t xml:space="preserve">Implantar banco de dados com processamento imbutido/nuvem </t>
  </si>
  <si>
    <t>Realizar o ciclo PDCA do projeto, estimular o uso da plataforma.</t>
  </si>
  <si>
    <t>Acompanhar emprasa em campo, validando o trabalho planejado e executado</t>
  </si>
  <si>
    <t>Realizar crosscheck nos locais onde ocorreram dúvidas junto com Contratada conforme necessidade</t>
  </si>
  <si>
    <t>Reportar atividades desenvolvidas conforme cronograma proposto</t>
  </si>
  <si>
    <t>Realizar inspeções e reportar avanços</t>
  </si>
  <si>
    <t>Mapear pontos críticos com base no impacto da vegetação</t>
  </si>
  <si>
    <t>Propor metodologia de amostragem do solo e água</t>
  </si>
  <si>
    <t>Realizar coleta do solo para análise no período de chuva</t>
  </si>
  <si>
    <t>Enviar amostras de solo para laboratório</t>
  </si>
  <si>
    <t>Prepapar dispositvos de amostragem de água subterrânea</t>
  </si>
  <si>
    <t>Instalar dispositvos de amostragem de água subterrânea</t>
  </si>
  <si>
    <t>Realizar coleta de água e solo nos períodos de estiagem</t>
  </si>
  <si>
    <t>Enviar amostras de solo e água para laboratório</t>
  </si>
  <si>
    <t>Não foi possível enviar a 2ª coleta, devido a questões contratuais com empresa parceira (Tommasi), segundo informações de Nelson Bolotari. Será incluído no orçamento de 2026 análises de solo, para continuidade ao estudo.</t>
  </si>
  <si>
    <t>Realizar relatório técnico dos resultados do período e determinar plano de ação para 2026</t>
  </si>
  <si>
    <t>Realizado benchmarking com fornecedores e com base em relatórios de testes ArcelorMittal</t>
  </si>
  <si>
    <t xml:space="preserve">Apresentação do Ecopav/ Ecoar em vias não pavimentadas </t>
  </si>
  <si>
    <t>Realizado teste nas vias internas e externas com resultados satisfatórios</t>
  </si>
  <si>
    <t>Definir o escopo do Masterplan, com desenvolvimento da apresentação, estrutura e objetivos do documento.</t>
  </si>
  <si>
    <t>Realizar diagnóstico e análise do contexto atual do licenciamento em Goiás.</t>
  </si>
  <si>
    <t>Analisar o cenário atual do licenciamento ambiental da empresa</t>
  </si>
  <si>
    <t>Avaliar e detalhar as Perspectivas de expansões e alterações no licenciamento da empresa.</t>
  </si>
  <si>
    <t>Propor a Estratégia de licenciamento ambiental para as novas ampliações / alterações</t>
  </si>
  <si>
    <t>Mapear e apresentar lista de Documentos e Estudos necessários previstos, incluindo análise dos Termos de Referência específicos disponíveis.</t>
  </si>
  <si>
    <t>Revisar e publicar o documento.</t>
  </si>
  <si>
    <t>Revisar e publicar o documento + Inclusão de linhas de ação para médio e longo prazo e propostas de melhoria na gestão interna (120%).</t>
  </si>
  <si>
    <t>Desenvolver o levantamento de cargos e funções quadro SVPM</t>
  </si>
  <si>
    <t>Aplicar projeto piloto de treinamento em Gerência da SVPM</t>
  </si>
  <si>
    <t>Validação da matriz por DHO - Desenvolvimento Humano Ocupacional</t>
  </si>
  <si>
    <t>Construção da matriz de treinamentos por cargo/função</t>
  </si>
  <si>
    <t>Planejar Ciclo de Treinamento Completo para todos os documentos, cargos/funções e gerências para o ano de 2026</t>
  </si>
  <si>
    <t>Executar treinamento em 2 procedimento, no período setembro-dezembro 2025, abrangendo todos os cargos/funçoes e gerências SVPM</t>
  </si>
  <si>
    <t>Estruturar o Documento em tópicos claros e objetivos</t>
  </si>
  <si>
    <t>Levantamento detalhado dos requisitos de padrões de desempenho</t>
  </si>
  <si>
    <t>Comparativo dos requisitos com a ISO 14001  e aplicabilidade para área de sga</t>
  </si>
  <si>
    <t>Elaboração do documento com os requisitos ligados ao SGA</t>
  </si>
  <si>
    <t>Validação e aprovação do documento com a gestão</t>
  </si>
  <si>
    <t>Proposta de indicadores de SGA SVPM para 2026</t>
  </si>
  <si>
    <t>Realizar a simulação disponível no sistema ipê e identificar os requisitos e documentações necessárias para abertura do processo</t>
  </si>
  <si>
    <t>Realizar o levantamento dos documentos e estudos existentes</t>
  </si>
  <si>
    <t>Definir os responsáveis por cada etapa e elaboração/envio dos documentos necessários</t>
  </si>
  <si>
    <t>Preencher os questionários e inserir as documentações solicitadas no sistema</t>
  </si>
  <si>
    <t>Enviar o processo no sistema Ipê para análise</t>
  </si>
  <si>
    <t xml:space="preserve">Acompanhar a análise e realizar o atendimento das notificações </t>
  </si>
  <si>
    <t>Acompanhar processo de renovação da Autorização Heap Leaching</t>
  </si>
  <si>
    <t>Estabelecer contato com a gerencia responsável para emissão da Autorização com adequação do prazo de validade para outubro/2025</t>
  </si>
  <si>
    <t>Plano de Ação para atendimento de todas as condicionantes da nova autorização</t>
  </si>
  <si>
    <t>Acompanhar processo solicitação da ASV 48,8 hectares</t>
  </si>
  <si>
    <t>Preencher o sistema e enviar o processo para análise</t>
  </si>
  <si>
    <t>Elaborar modelo padrão de controle documental e relatórios a serem enviados pelas empresas contratadas</t>
  </si>
  <si>
    <t>Elaborar e cumprir agenda semanal de vistoria de campo e reuniões mensais com empresas contratadas</t>
  </si>
  <si>
    <t>Receber, revisar e fazer follow-up dos relatórios e ações desdobradas junto aos responsáveis das empresas contratadas</t>
  </si>
  <si>
    <t>Desenvolver ferramenta de gestão e acompanhamento dos resultados de gestão ambiental de empresas contratadas</t>
  </si>
  <si>
    <t>Revisar procedimento SVPM de gestão ambiental de contratadas + Elaboração de Cartilha Orientativa sobre gestão ambiental para empresas contratadas </t>
  </si>
  <si>
    <t>Elaborar os modelos da estrutura de RDA 2025/2026 com base nos Programas Ambientais e condicionantes de Licenças SVPM</t>
  </si>
  <si>
    <t>Implementar  junto aos responsáveis pelo RDA a sistemática revisada de relatórios mensais de acompanhamento</t>
  </si>
  <si>
    <t>Revisar mensalmente os RDAs entregues pelos responsáveis e realizar, quando necessário, reuniões de alinhamento e devolutivas</t>
  </si>
  <si>
    <t>Criar sistema de controle de entregas e follow-up de gaps dos relatórios entregues e inclusão no Relatório Ambiental Semanal - RAS</t>
  </si>
  <si>
    <t>Consolidar junto às áreas responsáveis os relatórios mensais até novembro/25, por programa, incluindo revisão parcial do período.</t>
  </si>
  <si>
    <t>Apresentar proposta de melhoria do processo para 2026, incluindo uso de ferramenta de AI.</t>
  </si>
  <si>
    <t>Processo foi arquivado pela SEMAD em novembro/2025. Nova instrução do processo em andamento, para o horizonte de ampliações dos próximos 5 anos.</t>
  </si>
  <si>
    <t>Acompanhar processo de renovação da LI e autorização para complementação do Projeto</t>
  </si>
  <si>
    <t>Estabelecer contato com a gerência e analistas para viabilizar a análise e parecer do órgão</t>
  </si>
  <si>
    <t>Fazer reunião técnica para esclarecimento de dúvidas</t>
  </si>
  <si>
    <t>Plano de ação para atendimento às complementações, caso necessário.</t>
  </si>
  <si>
    <t>Acompanhamento do Parecer e emissão da LI renovada</t>
  </si>
  <si>
    <t xml:space="preserve">Pedido de renovação da LI integrado ao sistema Ipê. Será emitida uma licença integrada, contemplando a LI 284 </t>
  </si>
  <si>
    <t>Preencher e enviar o formulário de caracterização do empreendimento</t>
  </si>
  <si>
    <t>Preencher e enviar a planilha de usuários</t>
  </si>
  <si>
    <t>Implantar do módulo Risco Legal: Reunião e documentação (acervo de processos)</t>
  </si>
  <si>
    <t>Realizar follow-up para revisão das informações imputadas no sistema</t>
  </si>
  <si>
    <t>Realizar treinamento com a equipe operacional</t>
  </si>
  <si>
    <t>Realizar treinamento com a equipe corporativa</t>
  </si>
  <si>
    <t>Realizado pelo SGI</t>
  </si>
  <si>
    <t>Operacionalizar o sistema</t>
  </si>
  <si>
    <t>30/04/205</t>
  </si>
  <si>
    <t>Requisitos da área de meio ambiente 100% avaliados até 30/04 - Outros novos foram sendo avaliados semanalmente na reunião de auditoria</t>
  </si>
  <si>
    <t>Gestão Ambiental</t>
  </si>
  <si>
    <t>Definir o Escopo da Gap Analysis: Estabelecer áreas e processos a serem analisados no diagnóstico ambiental.</t>
  </si>
  <si>
    <t>Coletar Documentos e Informações Relevantes: Reunir e avaliar documentos existentes contra a norma ISO 14001.</t>
  </si>
  <si>
    <t>Preparar um Relatório de Lacunas: Documentar e priorizar lacunas identificadas no diagnóstico ambiental.</t>
  </si>
  <si>
    <t>Elaborar um Plano de Ação para Correção das Lacunas: Planejar ações corretivas com prazos, responsáveis e métricas.</t>
  </si>
  <si>
    <t>Documento prévio entregue em 03/12 para revisão da coordenação. Documentação encaminhada para análise crítica e complementação SGI - Salvo em: https://mineracaoserraverde.sharepoint.com/:f:/r/sites/SVEnvironment/Documentos%20Compartilhados/18%20-%20Gest%C3%A3o%20Ambiental/01-Gest%C3%A3o/34%20-%20GAP%20Analisys%2014001?csf=1&amp;web=1&amp;e=TEXksy</t>
  </si>
  <si>
    <t>Definir informações necessárias para estruturação da base de dados</t>
  </si>
  <si>
    <t>Identificar e organizar em um único diretório os documentos e dados existentes</t>
  </si>
  <si>
    <t xml:space="preserve">Realizar consultas aos sistemas públicos (CAR, IBAMA, SIGEF, SIGA-GO, ETC) e realizar download das bases de dados de cada imóvel presente na ADA atual </t>
  </si>
  <si>
    <t>Analisar as obrigações legais e regulamentares  para estruturação do relatório</t>
  </si>
  <si>
    <t>Elaborar o relatório de análise descrevendo a situação geral das propriedades e os riscos envolvidos em cada passivo identificado na ADA e propostas de regularização</t>
  </si>
  <si>
    <t>Entregar o relatório final de análise.</t>
  </si>
  <si>
    <t>Elaborar procedimento de atualização contínua da base de dados, documentos e realização de análises. (120%).</t>
  </si>
  <si>
    <t>Compensação</t>
  </si>
  <si>
    <t>Acompanhar processo de compensação ambiental referente às complementações do projeto</t>
  </si>
  <si>
    <t>Estabelecer contato com as gerências responsáveis para acompanhamento do processo</t>
  </si>
  <si>
    <t>Aprovação do Grau de Impacto e planilha de investimentos para aditivação da compensação ambiental</t>
  </si>
  <si>
    <t>Assinatura do Aditivo do TCCA</t>
  </si>
  <si>
    <t>Início da execução do Plano de Trabalho</t>
  </si>
  <si>
    <t>Definir Metodologia de Avaliação de Aspectos e Impactos Ambientais e itemização do procedimento</t>
  </si>
  <si>
    <t>Apresentar Procedimento e Metodologia para GMA e Gerência SGI</t>
  </si>
  <si>
    <t xml:space="preserve">Definir 01 área piloto do empreendimento e mapear suas atividades para avaliação de aspectos e impactos </t>
  </si>
  <si>
    <t>Avaliar os aspectos e impactos ambientais das atividades da área piloto escolhida</t>
  </si>
  <si>
    <t>Entregar Matriz Piloto + Planejamento de Continuidade para 2026</t>
  </si>
  <si>
    <t>Realizar levantamento de solicitações de exclusões/alterações de condicionantes já realizadas e de possíveis solicitações de exclusões/alterações</t>
  </si>
  <si>
    <t>Realizar reunião com o responsável pelo atendimento da condicionante e validar desejo de exclusão/alteração da mesma</t>
  </si>
  <si>
    <t>Elaborar justificativa (ofício) para as solicitações viáveis de exclusão/alterações validar com gerente de Meio Ambiente.</t>
  </si>
  <si>
    <t>Protocolar solicitações no órgão ambiental responsável</t>
  </si>
  <si>
    <t>Desenvolver manual do SGA</t>
  </si>
  <si>
    <t>Elaborar estrutura base (itemização) do Manual de Sistema de Gestão Ambiental com base na ABNT NBR ISO 14.001 : 2015</t>
  </si>
  <si>
    <t>Identificar documentos disponíveis da SVPM que devem ser contemplados e descritos no Manual</t>
  </si>
  <si>
    <t>Redigir o Manual de SGA SVPM</t>
  </si>
  <si>
    <t>Apresentar Manual à GMA e Gerência SGI + Entrega do Documento</t>
  </si>
  <si>
    <t>Desdobramento Interno sobre o manual do SGA</t>
  </si>
  <si>
    <t>Realizar Gap Analysis da ISO 14001 nas áreas</t>
  </si>
  <si>
    <t>item terá continuidade e revisão em 2026</t>
  </si>
  <si>
    <t>Apresentar Estratégia para continuidade do Processo para ano de 2026</t>
  </si>
  <si>
    <t>Estratégia será reavaliada conforme definições da Gerencia e complementações da área de SGI.</t>
  </si>
  <si>
    <t>Projeto 02 - Enviar Propostas Recebidas das Instituições para Aprovação da SEMAD</t>
  </si>
  <si>
    <t>Ultima aprovação recebida via e-mail em Agosto de 2025</t>
  </si>
  <si>
    <t>Projeto 02 - Cadastro dos itens a serem adquiridos no Fluig SVPM e sistema protheus</t>
  </si>
  <si>
    <t>100% dos itens cadastrados no sistema com abertura de SC</t>
  </si>
  <si>
    <t>Projeto 02 - Autorizar e Acompanhar o processo de compra</t>
  </si>
  <si>
    <t>Pedidos de compra gerados para todos os itens solicitados, pendente a entrega dos itens do zoológico.</t>
  </si>
  <si>
    <t>Projeto 02 - Acompanhar Entrega dos itens às instituições e recebimento da NF assinada</t>
  </si>
  <si>
    <t>Pendentes as entregas para o zoológico e nex, previstos ainda para 2025</t>
  </si>
  <si>
    <t>Projeto 02 - Elaboração e envio do relatório de conclusão dos pagamentos à SEMAD</t>
  </si>
  <si>
    <t>Todas as entregas realizadas em 2025 foram apresentadas a SEMAD, pendente o envio do relatório de entrega dos itens zoológico e Nex, entregas previstas para 2025 e relatório final em 2026</t>
  </si>
  <si>
    <t>Projeto 01 - Aditivar o contrato com a empresa Rio Manso</t>
  </si>
  <si>
    <t>Solicitação de aditivo realizada em agosto de 2025, pendente a finalização por parte da equipe de contratos</t>
  </si>
  <si>
    <t>Projeto 01 - Acompanhar a execução das obras do Centro de Reabilitação e Manutenção de Animais Silvestres do Estado de Goiás garantido o pleno atendimento das exigências do TCA n° 79</t>
  </si>
  <si>
    <t>Projeto 01 - Elaborar os relatórios mensais de atendimento do projeto 01 do TCA n°79 e protocolar no órgão ambiental</t>
  </si>
  <si>
    <t>relatórios enviados mensalmente a SEMAD após vistoria conjunta</t>
  </si>
  <si>
    <t>Projeto 01 - Aditivar o contrato com a empresa FUNATURA</t>
  </si>
  <si>
    <t>Solicitação de aditivo realizada em 18/09/2025, pendente a finalização por parte da equipe de contratos</t>
  </si>
  <si>
    <t>Projeto 01 - Estabelecer contato com a gerencia da SEMAD para emissão da Autorização de pagamento final da empresa FUNATURA + Reunião Realinhamento dos prazos</t>
  </si>
  <si>
    <t>Contato realizado com a SEMAD em julho de 2025, ultimo despacho por parte da semad realizado em Novembro de 2025, ainda sem resposta</t>
  </si>
  <si>
    <t>Projeto 01 - Estabelecer contato com a Gerência da SEMAD para atualização do projeto e plano de trabalho de Reforma das instalações prediais de apoio a administração e visitação da unidade de conservação Área de Relevante Interesse Ecológico (ARIE) Águas de João + Reunião de Realinhamento dos Prazos</t>
  </si>
  <si>
    <t>Projeto 01 -Executar o plano de trabalho atualizado após envio da SEMAD</t>
  </si>
  <si>
    <t>Não foi possivel atender devido a ausencia de resposta da SEMAD e o não recebimento do plano de trabalho a ser executado.</t>
  </si>
  <si>
    <t>Plano de Trabalho em Execução. Início em 20/10 com vistorias técnicas. Se estende conforme contrato, até 2026. Acompanhamento com envio mensal de relatórios à SEMAD dos avanços mensais.</t>
  </si>
  <si>
    <t>Planilhar e elaborar um BI subdividindo os contratos por escopos, área responsável, valores, prazos, etc.</t>
  </si>
  <si>
    <t>Identificar os contratos com maiores valores e/ou condições desfavoráveis à SVPM, oportunidades otimizações e avaliar similaridades, possibilidades de sinergia/integração e agrupamento em função das variáveis analisadas.</t>
  </si>
  <si>
    <t>Elaborar propostas de redução de custos para os contratos vigentes</t>
  </si>
  <si>
    <t>Propor metodologia replicável para análises anuais de contratos GMA (120%)</t>
  </si>
  <si>
    <t>Revisar o banco de dados geoespacial protocolado em todos os processos de licenciamento</t>
  </si>
  <si>
    <t>Revisão da pasta anteriormente existente e consulta os sistemas SEI e IPE</t>
  </si>
  <si>
    <t>Avaliar as atividades / estruturas protocoladas x executadas</t>
  </si>
  <si>
    <t>Atualizar os shp da base de dados levantada considerando a realidade atual e futura</t>
  </si>
  <si>
    <t>A pasta foi estruturada e está sob atualização constante</t>
  </si>
  <si>
    <t>Estruturar as pastas separando os dados protocolado x atual x futuro</t>
  </si>
  <si>
    <t>Atividade rotineira mensal. Evidências na rede (https://mineracaoserraverde.sharepoint.com/:f:/s/SVEnvironment/IgAPW1iDcVNSRJoWE4n4YQOsAQU9kwDoq6YKyVNVtq-8IoQ?e=HHU30H)</t>
  </si>
  <si>
    <t>Atividade rotineira mensal. Anomalias são discutidas semanalmente em reunião da equipe e repasse por grupo de WhatsApp junto empresa especializada para verificação e ajustes. Evidências na rede (https://mineracaoserraverde.sharepoint.com/:f:/s/SVEnvironment/IgAPW1iDcVNSRJoWE4n4YQOsAQU9kwDoq6YKyVNVtq-8IoQ?e=HHU30H)</t>
  </si>
  <si>
    <t>Evidência (https://mineracaoserraverde.sharepoint.com/:f:/s/SVEnvironment/IgAPW1iDcVNSRJoWE4n4YQOsAQU9kwDoq6YKyVNVtq-8IoQ?e=HHU30H)</t>
  </si>
  <si>
    <t>Não foi realizado material consolidado em formato anual e sim mensal, na rede https://mineracaoserraverde.sharepoint.com/:f:/s/SVEnvironment/IgAPW1iDcVNSRJoWE4n4YQOsAQU9kwDoq6YKyVNVtq-8IoQ?e=HHU30H</t>
  </si>
  <si>
    <t>Proposições discutidas ao longo dos meses.</t>
  </si>
  <si>
    <t>Coletar informações sobre todos os projetos realizados até o momento.</t>
  </si>
  <si>
    <t>Alteração de data devido férias. Concluído</t>
  </si>
  <si>
    <t>Organizar os dados coletados em uma base de dados centralizada.</t>
  </si>
  <si>
    <t>Realizado. Entregue fora do prazo devido férias</t>
  </si>
  <si>
    <t>Avaliar cada projeto com base nos critérios definidos.</t>
  </si>
  <si>
    <t>Etapa entregue.</t>
  </si>
  <si>
    <t>Identificar os resultados e impactos de cada projeto.</t>
  </si>
  <si>
    <t>Classificar os projetos de acordo com seu potencial de impacto.</t>
  </si>
  <si>
    <t>Criação da Matriz de Impacto</t>
  </si>
  <si>
    <t>Relatório Final</t>
  </si>
  <si>
    <t xml:space="preserve">Material entregue. Foi realizada a referência para a área de Meio Físico submeter alguns trabalhos no ano corrente </t>
  </si>
  <si>
    <t>Alteração de data devido férias</t>
  </si>
  <si>
    <t>Entregue fora do prazo devido férias.</t>
  </si>
  <si>
    <t>Etapa entesgue.</t>
  </si>
  <si>
    <t>Atividade não entregue</t>
  </si>
  <si>
    <t>Definido planejamento para acompanhamento continuo do GAP ANALYSIS</t>
  </si>
  <si>
    <t>Realizado acompanhamento até a metade do ano, posterior licença de maternidade e redefinição das atividades e estrutura do Plano Diretor de Resíduos não foi realizada acompanhamento pela colaboradora Mirelly</t>
  </si>
  <si>
    <t xml:space="preserve">Responsáveis </t>
  </si>
  <si>
    <t>Leonardo de Paula</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</si>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</sst>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9"/>
      <color theme="1"/>
      <name val="Aptos Narrow"/>
      <family val="2"/>
      <scheme val="minor"/>
    </font>
    <font>
      <sz val="9"/>
      <color rgb="FF0D0D0D"/>
      <name val="Aptos Narrow"/>
      <family val="2"/>
      <scheme val="minor"/>
    </font>
    <font>
      <b/>
      <sz val="11"/>
      <color rgb="FF0D0D0D"/>
      <name val="Segoe UI"/>
      <family val="2"/>
    </font>
    <font>
      <sz val="11"/>
      <color rgb="FF0D0D0D"/>
      <name val="Segoe UI"/>
      <family val="2"/>
    </font>
    <font>
      <b/>
      <sz val="9"/>
      <color theme="1"/>
      <name val="Aptos Narrow"/>
      <family val="2"/>
      <scheme val="minor"/>
    </font>
    <font>
      <sz val="11"/>
      <color rgb="FF000000"/>
      <name val="Aptos Display"/>
      <family val="2"/>
    </font>
    <font>
      <sz val="11"/>
      <color rgb="FF0D0D0D"/>
      <name val="Aptos Display"/>
      <family val="2"/>
    </font>
    <font>
      <sz val="11"/>
      <color rgb="FF000000"/>
      <name val="Aptos Narrow"/>
      <family val="2"/>
    </font>
    <font>
      <sz val="12"/>
      <color rgb="FF000000"/>
      <name val="Aptos Display"/>
      <family val="2"/>
    </font>
    <font>
      <sz val="11"/>
      <name val="Aptos Display"/>
      <family val="2"/>
    </font>
    <font>
      <sz val="11"/>
      <color rgb="FF0D0D0D"/>
      <name val="Aptos Display"/>
      <family val="2"/>
      <scheme val="major"/>
    </font>
    <font>
      <sz val="11"/>
      <color theme="5" tint="-0.499984740745262"/>
      <name val="Aptos Display"/>
      <family val="2"/>
    </font>
    <font>
      <sz val="11"/>
      <color theme="1"/>
      <name val="Aptos Display"/>
      <family val="2"/>
    </font>
    <font>
      <b/>
      <sz val="9"/>
      <color rgb="FF000000"/>
      <name val="Aptos Narrow"/>
      <family val="2"/>
    </font>
    <font>
      <sz val="9"/>
      <color rgb="FF000000"/>
      <name val="Aptos Narrow"/>
      <family val="2"/>
    </font>
    <font>
      <b/>
      <sz val="11"/>
      <color rgb="FF000000"/>
      <name val="Aptos Narrow"/>
      <family val="2"/>
    </font>
    <font>
      <b/>
      <sz val="11"/>
      <color theme="1"/>
      <name val="Aptos Narrow"/>
      <family val="2"/>
      <scheme val="minor"/>
    </font>
    <font>
      <sz val="9"/>
      <color rgb="FF0D0D0D"/>
      <name val="Segoe UI"/>
      <family val="2"/>
    </font>
    <font>
      <sz val="11"/>
      <color rgb="FF242424"/>
      <name val="Segoe UI"/>
      <family val="2"/>
    </font>
  </fonts>
  <fills count="1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D9D9D9"/>
        <bgColor rgb="FF000000"/>
      </patternFill>
    </fill>
    <fill>
      <patternFill patternType="solid">
        <fgColor rgb="FFFFFF00"/>
        <bgColor rgb="FF000000"/>
      </patternFill>
    </fill>
    <fill>
      <patternFill patternType="solid">
        <fgColor rgb="FFD9D9D9"/>
        <bgColor rgb="FFD9D9D9"/>
      </patternFill>
    </fill>
    <fill>
      <patternFill patternType="solid">
        <fgColor theme="9"/>
        <bgColor indexed="64"/>
      </patternFill>
    </fill>
    <fill>
      <patternFill patternType="solid">
        <fgColor theme="0" tint="-0.14999847407452621"/>
        <bgColor theme="0" tint="-0.14999847407452621"/>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style="thin">
        <color rgb="FF000000"/>
      </left>
      <right/>
      <top style="thin">
        <color indexed="64"/>
      </top>
      <bottom/>
      <diagonal/>
    </border>
    <border>
      <left style="thin">
        <color indexed="64"/>
      </left>
      <right/>
      <top style="thin">
        <color rgb="FF000000"/>
      </top>
      <bottom/>
      <diagonal/>
    </border>
    <border>
      <left style="thin">
        <color rgb="FF000000"/>
      </left>
      <right style="thin">
        <color rgb="FF000000"/>
      </right>
      <top style="thin">
        <color rgb="FF000000"/>
      </top>
      <bottom style="thin">
        <color theme="1"/>
      </bottom>
      <diagonal/>
    </border>
    <border>
      <left style="thin">
        <color rgb="FF000000"/>
      </left>
      <right/>
      <top style="thin">
        <color rgb="FF000000"/>
      </top>
      <bottom style="thin">
        <color theme="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93">
    <xf numFmtId="0" fontId="0" fillId="0" borderId="0" xfId="0"/>
    <xf numFmtId="0" fontId="0" fillId="2" borderId="0" xfId="0" applyFill="1"/>
    <xf numFmtId="0" fontId="0" fillId="2" borderId="0" xfId="0" applyFill="1" applyAlignment="1">
      <alignment horizontal="center"/>
    </xf>
    <xf numFmtId="0" fontId="0" fillId="0" borderId="0" xfId="0" applyAlignment="1">
      <alignment horizontal="center"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10" fontId="1" fillId="4"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14" fontId="1" fillId="4" borderId="2" xfId="0" applyNumberFormat="1" applyFont="1" applyFill="1" applyBorder="1" applyAlignment="1">
      <alignment horizontal="center" vertical="center"/>
    </xf>
    <xf numFmtId="0" fontId="0" fillId="0" borderId="0" xfId="0" applyProtection="1">
      <protection locked="0"/>
    </xf>
    <xf numFmtId="0" fontId="0" fillId="2" borderId="0" xfId="0" applyFill="1" applyProtection="1">
      <protection locked="0"/>
    </xf>
    <xf numFmtId="0" fontId="8" fillId="7" borderId="0" xfId="0" applyFont="1" applyFill="1"/>
    <xf numFmtId="0" fontId="8" fillId="0" borderId="0" xfId="0" applyFont="1"/>
    <xf numFmtId="0" fontId="16" fillId="0" borderId="6" xfId="0" applyFont="1" applyBorder="1"/>
    <xf numFmtId="0" fontId="8" fillId="0" borderId="4" xfId="0" applyFont="1" applyBorder="1"/>
    <xf numFmtId="0" fontId="16" fillId="0" borderId="0" xfId="0" applyFont="1"/>
    <xf numFmtId="0" fontId="0" fillId="2" borderId="4" xfId="0" applyFill="1" applyBorder="1"/>
    <xf numFmtId="0" fontId="0" fillId="2" borderId="4" xfId="0" applyFill="1" applyBorder="1" applyAlignment="1">
      <alignment wrapText="1"/>
    </xf>
    <xf numFmtId="0" fontId="4" fillId="3" borderId="4" xfId="0" applyFont="1" applyFill="1" applyBorder="1" applyAlignment="1">
      <alignment wrapText="1"/>
    </xf>
    <xf numFmtId="14" fontId="0" fillId="2" borderId="4" xfId="0" applyNumberFormat="1" applyFill="1" applyBorder="1"/>
    <xf numFmtId="0" fontId="0" fillId="2" borderId="4" xfId="0" applyFill="1" applyBorder="1" applyProtection="1">
      <protection locked="0"/>
    </xf>
    <xf numFmtId="14" fontId="1" fillId="4" borderId="4" xfId="0" applyNumberFormat="1" applyFont="1" applyFill="1" applyBorder="1" applyAlignment="1">
      <alignment horizontal="center" vertical="center"/>
    </xf>
    <xf numFmtId="14" fontId="1" fillId="8" borderId="1" xfId="0" applyNumberFormat="1" applyFont="1" applyFill="1" applyBorder="1" applyAlignment="1">
      <alignment horizontal="center" vertical="center"/>
    </xf>
    <xf numFmtId="0" fontId="0" fillId="2" borderId="9" xfId="0" applyFill="1" applyBorder="1"/>
    <xf numFmtId="0" fontId="4" fillId="3" borderId="9" xfId="0" applyFont="1" applyFill="1" applyBorder="1" applyAlignment="1">
      <alignment wrapText="1"/>
    </xf>
    <xf numFmtId="14" fontId="0" fillId="2" borderId="9" xfId="0" applyNumberFormat="1" applyFill="1" applyBorder="1"/>
    <xf numFmtId="0" fontId="8" fillId="3" borderId="9" xfId="0" applyFont="1" applyFill="1" applyBorder="1" applyAlignment="1">
      <alignment horizontal="center"/>
    </xf>
    <xf numFmtId="0" fontId="0" fillId="2" borderId="9" xfId="0" applyFill="1" applyBorder="1" applyProtection="1">
      <protection locked="0"/>
    </xf>
    <xf numFmtId="0" fontId="0" fillId="4" borderId="4" xfId="0" applyFill="1" applyBorder="1" applyProtection="1">
      <protection locked="0"/>
    </xf>
    <xf numFmtId="0" fontId="0" fillId="4" borderId="10" xfId="0" applyFill="1" applyBorder="1" applyProtection="1">
      <protection locked="0"/>
    </xf>
    <xf numFmtId="9" fontId="0" fillId="4" borderId="4" xfId="0" applyNumberFormat="1" applyFill="1" applyBorder="1" applyProtection="1">
      <protection locked="0"/>
    </xf>
    <xf numFmtId="0" fontId="0" fillId="2" borderId="0" xfId="0" applyFill="1" applyAlignment="1">
      <alignment horizontal="left"/>
    </xf>
    <xf numFmtId="0" fontId="1" fillId="0" borderId="8" xfId="0" applyFont="1" applyBorder="1" applyAlignment="1">
      <alignment horizontal="center" vertical="center"/>
    </xf>
    <xf numFmtId="10" fontId="1" fillId="4" borderId="8" xfId="0" applyNumberFormat="1" applyFont="1" applyFill="1" applyBorder="1" applyAlignment="1">
      <alignment horizontal="center" vertical="center"/>
    </xf>
    <xf numFmtId="14" fontId="1" fillId="4" borderId="8" xfId="0" applyNumberFormat="1" applyFont="1" applyFill="1" applyBorder="1" applyAlignment="1">
      <alignment horizontal="center" vertical="center"/>
    </xf>
    <xf numFmtId="1" fontId="1" fillId="0" borderId="8" xfId="0" applyNumberFormat="1" applyFont="1" applyBorder="1" applyAlignment="1">
      <alignment horizontal="center" vertical="center"/>
    </xf>
    <xf numFmtId="0" fontId="8" fillId="3" borderId="9" xfId="0" applyFont="1" applyFill="1" applyBorder="1" applyAlignment="1">
      <alignment wrapText="1"/>
    </xf>
    <xf numFmtId="14" fontId="1" fillId="4" borderId="9" xfId="0" applyNumberFormat="1" applyFont="1" applyFill="1" applyBorder="1" applyAlignment="1">
      <alignment horizontal="center" vertical="center"/>
    </xf>
    <xf numFmtId="0" fontId="17" fillId="0" borderId="11" xfId="0" applyFont="1" applyBorder="1" applyAlignment="1">
      <alignment horizontal="center"/>
    </xf>
    <xf numFmtId="0" fontId="3" fillId="2" borderId="14" xfId="0" applyFont="1" applyFill="1" applyBorder="1" applyAlignment="1">
      <alignment horizontal="center" vertical="center" wrapText="1"/>
    </xf>
    <xf numFmtId="0" fontId="3" fillId="2" borderId="12" xfId="0" applyFont="1" applyFill="1" applyBorder="1" applyAlignment="1">
      <alignment horizontal="center" vertical="center" wrapText="1"/>
    </xf>
    <xf numFmtId="9" fontId="3" fillId="2" borderId="12" xfId="0" applyNumberFormat="1" applyFont="1" applyFill="1" applyBorder="1" applyAlignment="1">
      <alignment horizontal="center" vertical="center" wrapText="1"/>
    </xf>
    <xf numFmtId="2" fontId="3" fillId="2" borderId="12" xfId="0" applyNumberFormat="1" applyFont="1" applyFill="1" applyBorder="1" applyAlignment="1">
      <alignment horizontal="center" vertical="center" wrapText="1"/>
    </xf>
    <xf numFmtId="0" fontId="3" fillId="3" borderId="12" xfId="0" applyFont="1" applyFill="1" applyBorder="1" applyAlignment="1">
      <alignment wrapText="1"/>
    </xf>
    <xf numFmtId="0" fontId="3" fillId="2" borderId="12" xfId="0" applyFont="1" applyFill="1" applyBorder="1" applyAlignment="1">
      <alignment horizontal="left" vertical="center" wrapText="1"/>
    </xf>
    <xf numFmtId="0" fontId="3" fillId="2" borderId="8" xfId="0" applyFont="1" applyFill="1" applyBorder="1" applyAlignment="1">
      <alignment horizontal="left" vertical="center" wrapText="1"/>
    </xf>
    <xf numFmtId="0" fontId="0" fillId="9" borderId="11" xfId="0" applyFill="1" applyBorder="1"/>
    <xf numFmtId="0" fontId="7" fillId="3" borderId="14" xfId="0" applyFont="1" applyFill="1" applyBorder="1" applyAlignment="1">
      <alignment wrapText="1"/>
    </xf>
    <xf numFmtId="0" fontId="7" fillId="3" borderId="12" xfId="0" applyFont="1" applyFill="1" applyBorder="1" applyAlignment="1">
      <alignment wrapText="1"/>
    </xf>
    <xf numFmtId="0" fontId="4" fillId="3" borderId="14" xfId="0" applyFont="1" applyFill="1" applyBorder="1" applyAlignment="1">
      <alignment wrapText="1"/>
    </xf>
    <xf numFmtId="0" fontId="4" fillId="2" borderId="14" xfId="0" applyFont="1" applyFill="1" applyBorder="1" applyAlignment="1">
      <alignment wrapText="1"/>
    </xf>
    <xf numFmtId="14" fontId="4" fillId="4" borderId="14" xfId="0" applyNumberFormat="1" applyFont="1" applyFill="1" applyBorder="1" applyAlignment="1">
      <alignment wrapText="1"/>
    </xf>
    <xf numFmtId="9" fontId="4" fillId="4" borderId="14" xfId="0" applyNumberFormat="1" applyFont="1" applyFill="1" applyBorder="1" applyAlignment="1">
      <alignment horizontal="right" wrapText="1"/>
    </xf>
    <xf numFmtId="2" fontId="4" fillId="3" borderId="12" xfId="0" applyNumberFormat="1" applyFont="1" applyFill="1" applyBorder="1" applyAlignment="1">
      <alignment wrapText="1"/>
    </xf>
    <xf numFmtId="14" fontId="4" fillId="2" borderId="12" xfId="0" applyNumberFormat="1" applyFont="1" applyFill="1" applyBorder="1" applyAlignment="1">
      <alignment wrapText="1"/>
    </xf>
    <xf numFmtId="14" fontId="4" fillId="2" borderId="14" xfId="0" applyNumberFormat="1" applyFont="1" applyFill="1" applyBorder="1" applyAlignment="1">
      <alignment wrapText="1"/>
    </xf>
    <xf numFmtId="0" fontId="8" fillId="3" borderId="14" xfId="0" applyFont="1" applyFill="1" applyBorder="1" applyAlignment="1">
      <alignment horizontal="center"/>
    </xf>
    <xf numFmtId="0" fontId="8" fillId="3" borderId="14" xfId="0" applyFont="1" applyFill="1" applyBorder="1" applyAlignment="1">
      <alignment wrapText="1"/>
    </xf>
    <xf numFmtId="0" fontId="7" fillId="2" borderId="12" xfId="0" applyFont="1" applyFill="1" applyBorder="1" applyAlignment="1">
      <alignment wrapText="1"/>
    </xf>
    <xf numFmtId="0" fontId="6" fillId="3" borderId="12" xfId="0" applyFont="1" applyFill="1" applyBorder="1"/>
    <xf numFmtId="0" fontId="6" fillId="5" borderId="8" xfId="0" applyFont="1" applyFill="1" applyBorder="1"/>
    <xf numFmtId="0" fontId="0" fillId="0" borderId="11" xfId="0" applyBorder="1"/>
    <xf numFmtId="0" fontId="4" fillId="3" borderId="11" xfId="0" applyFont="1" applyFill="1" applyBorder="1" applyAlignment="1">
      <alignment wrapText="1"/>
    </xf>
    <xf numFmtId="0" fontId="7" fillId="2" borderId="11" xfId="0" applyFont="1" applyFill="1" applyBorder="1" applyAlignment="1">
      <alignment wrapText="1"/>
    </xf>
    <xf numFmtId="14" fontId="7" fillId="4" borderId="11" xfId="0" applyNumberFormat="1" applyFont="1" applyFill="1" applyBorder="1" applyAlignment="1">
      <alignment wrapText="1"/>
    </xf>
    <xf numFmtId="9" fontId="7" fillId="4" borderId="11" xfId="0" applyNumberFormat="1" applyFont="1" applyFill="1" applyBorder="1" applyAlignment="1">
      <alignment horizontal="right" wrapText="1"/>
    </xf>
    <xf numFmtId="14" fontId="6" fillId="2" borderId="15" xfId="0" applyNumberFormat="1" applyFont="1" applyFill="1" applyBorder="1" applyAlignment="1">
      <alignment wrapText="1"/>
    </xf>
    <xf numFmtId="14" fontId="6" fillId="2" borderId="11" xfId="0" applyNumberFormat="1" applyFont="1" applyFill="1" applyBorder="1" applyAlignment="1">
      <alignment wrapText="1"/>
    </xf>
    <xf numFmtId="0" fontId="8" fillId="3" borderId="11" xfId="0" applyFont="1" applyFill="1" applyBorder="1" applyAlignment="1">
      <alignment horizontal="center"/>
    </xf>
    <xf numFmtId="0" fontId="8" fillId="3" borderId="11" xfId="0" applyFont="1" applyFill="1" applyBorder="1" applyAlignment="1">
      <alignment wrapText="1"/>
    </xf>
    <xf numFmtId="0" fontId="7" fillId="4" borderId="11" xfId="0" applyFont="1" applyFill="1" applyBorder="1" applyAlignment="1">
      <alignment wrapText="1"/>
    </xf>
    <xf numFmtId="0" fontId="9" fillId="2" borderId="11" xfId="0" applyFont="1" applyFill="1" applyBorder="1"/>
    <xf numFmtId="0" fontId="9" fillId="4" borderId="11" xfId="0" applyFont="1" applyFill="1" applyBorder="1"/>
    <xf numFmtId="9" fontId="7" fillId="4" borderId="11" xfId="0" applyNumberFormat="1" applyFont="1" applyFill="1" applyBorder="1" applyAlignment="1">
      <alignment wrapText="1"/>
    </xf>
    <xf numFmtId="0" fontId="7" fillId="4" borderId="11" xfId="0" applyFont="1" applyFill="1" applyBorder="1" applyAlignment="1">
      <alignment vertical="center" wrapText="1"/>
    </xf>
    <xf numFmtId="9" fontId="7" fillId="4" borderId="11" xfId="0" applyNumberFormat="1" applyFont="1" applyFill="1" applyBorder="1" applyAlignment="1">
      <alignment horizontal="right" vertical="center" wrapText="1"/>
    </xf>
    <xf numFmtId="14" fontId="6" fillId="2" borderId="15" xfId="0" applyNumberFormat="1" applyFont="1" applyFill="1" applyBorder="1" applyAlignment="1">
      <alignment vertical="center" wrapText="1"/>
    </xf>
    <xf numFmtId="14" fontId="6" fillId="2" borderId="11" xfId="0" applyNumberFormat="1" applyFont="1" applyFill="1" applyBorder="1" applyAlignment="1">
      <alignment vertical="center" wrapText="1"/>
    </xf>
    <xf numFmtId="0" fontId="6" fillId="3" borderId="12" xfId="0" applyFont="1" applyFill="1" applyBorder="1" applyAlignment="1">
      <alignment vertical="center"/>
    </xf>
    <xf numFmtId="0" fontId="6" fillId="5" borderId="8" xfId="0" applyFont="1" applyFill="1" applyBorder="1" applyAlignment="1">
      <alignment horizontal="left" vertical="center"/>
    </xf>
    <xf numFmtId="0" fontId="6" fillId="5" borderId="8" xfId="0" applyFont="1" applyFill="1" applyBorder="1" applyAlignment="1">
      <alignment vertical="center"/>
    </xf>
    <xf numFmtId="0" fontId="6" fillId="5" borderId="8" xfId="0" applyFont="1" applyFill="1" applyBorder="1" applyAlignment="1">
      <alignment horizontal="left" vertical="center" wrapText="1"/>
    </xf>
    <xf numFmtId="0" fontId="6" fillId="2" borderId="11" xfId="0" applyFont="1" applyFill="1" applyBorder="1" applyAlignment="1">
      <alignment wrapText="1"/>
    </xf>
    <xf numFmtId="0" fontId="6" fillId="4" borderId="11" xfId="0" applyFont="1" applyFill="1" applyBorder="1"/>
    <xf numFmtId="14" fontId="6" fillId="2" borderId="15" xfId="0" applyNumberFormat="1" applyFont="1" applyFill="1" applyBorder="1"/>
    <xf numFmtId="14" fontId="6" fillId="2" borderId="11" xfId="0" applyNumberFormat="1" applyFont="1" applyFill="1" applyBorder="1"/>
    <xf numFmtId="14" fontId="6" fillId="4" borderId="11" xfId="0" applyNumberFormat="1" applyFont="1" applyFill="1" applyBorder="1"/>
    <xf numFmtId="9" fontId="11" fillId="4" borderId="11" xfId="0" applyNumberFormat="1" applyFont="1" applyFill="1" applyBorder="1" applyAlignment="1">
      <alignment horizontal="right" vertical="center" wrapText="1"/>
    </xf>
    <xf numFmtId="0" fontId="12" fillId="4" borderId="11" xfId="0" applyFont="1" applyFill="1" applyBorder="1"/>
    <xf numFmtId="9" fontId="12" fillId="4" borderId="11" xfId="0" applyNumberFormat="1" applyFont="1" applyFill="1" applyBorder="1" applyAlignment="1">
      <alignment horizontal="right" wrapText="1"/>
    </xf>
    <xf numFmtId="14" fontId="13" fillId="2" borderId="15" xfId="0" applyNumberFormat="1" applyFont="1" applyFill="1" applyBorder="1" applyAlignment="1">
      <alignment wrapText="1"/>
    </xf>
    <xf numFmtId="14" fontId="13" fillId="2" borderId="11" xfId="0" applyNumberFormat="1" applyFont="1" applyFill="1" applyBorder="1" applyAlignment="1">
      <alignment wrapText="1"/>
    </xf>
    <xf numFmtId="14" fontId="13" fillId="2" borderId="11" xfId="0" applyNumberFormat="1" applyFont="1" applyFill="1" applyBorder="1"/>
    <xf numFmtId="14" fontId="13" fillId="2" borderId="15" xfId="0" applyNumberFormat="1" applyFont="1" applyFill="1" applyBorder="1"/>
    <xf numFmtId="0" fontId="7" fillId="4" borderId="11" xfId="0" applyFont="1" applyFill="1" applyBorder="1" applyAlignment="1">
      <alignment horizontal="center" wrapText="1"/>
    </xf>
    <xf numFmtId="14" fontId="7" fillId="4" borderId="11" xfId="0" applyNumberFormat="1" applyFont="1" applyFill="1" applyBorder="1" applyAlignment="1">
      <alignment horizontal="center" wrapText="1"/>
    </xf>
    <xf numFmtId="0" fontId="7" fillId="4" borderId="11" xfId="0" applyFont="1" applyFill="1" applyBorder="1" applyAlignment="1">
      <alignment horizontal="right" wrapText="1"/>
    </xf>
    <xf numFmtId="0" fontId="9" fillId="2" borderId="11" xfId="0" applyFont="1" applyFill="1" applyBorder="1" applyAlignment="1">
      <alignment wrapText="1"/>
    </xf>
    <xf numFmtId="14" fontId="7" fillId="4" borderId="11" xfId="0" applyNumberFormat="1" applyFont="1" applyFill="1" applyBorder="1" applyAlignment="1">
      <alignment horizontal="right" wrapText="1"/>
    </xf>
    <xf numFmtId="14" fontId="6" fillId="4" borderId="11" xfId="0" applyNumberFormat="1" applyFont="1" applyFill="1" applyBorder="1" applyAlignment="1">
      <alignment wrapText="1"/>
    </xf>
    <xf numFmtId="0" fontId="6" fillId="5" borderId="8" xfId="0" applyFont="1" applyFill="1" applyBorder="1" applyAlignment="1">
      <alignment wrapText="1"/>
    </xf>
    <xf numFmtId="0" fontId="6" fillId="4" borderId="11" xfId="0" applyFont="1" applyFill="1" applyBorder="1" applyAlignment="1">
      <alignment wrapText="1"/>
    </xf>
    <xf numFmtId="0" fontId="6" fillId="3" borderId="12" xfId="0" applyFont="1" applyFill="1" applyBorder="1" applyAlignment="1">
      <alignment wrapText="1"/>
    </xf>
    <xf numFmtId="0" fontId="0" fillId="2" borderId="11" xfId="0" applyFill="1" applyBorder="1"/>
    <xf numFmtId="0" fontId="0" fillId="4" borderId="11" xfId="0" applyFill="1" applyBorder="1"/>
    <xf numFmtId="9" fontId="0" fillId="4" borderId="11" xfId="0" applyNumberFormat="1" applyFill="1" applyBorder="1" applyAlignment="1">
      <alignment horizontal="right"/>
    </xf>
    <xf numFmtId="0" fontId="0" fillId="2" borderId="11" xfId="0" applyFill="1" applyBorder="1" applyAlignment="1">
      <alignment wrapText="1"/>
    </xf>
    <xf numFmtId="14" fontId="0" fillId="2" borderId="15" xfId="0" applyNumberFormat="1" applyFill="1" applyBorder="1"/>
    <xf numFmtId="14" fontId="0" fillId="2" borderId="11" xfId="0" applyNumberFormat="1" applyFill="1" applyBorder="1"/>
    <xf numFmtId="9" fontId="0" fillId="4" borderId="11" xfId="0" applyNumberFormat="1" applyFill="1" applyBorder="1"/>
    <xf numFmtId="0" fontId="6" fillId="5" borderId="13" xfId="0" applyFont="1" applyFill="1" applyBorder="1"/>
    <xf numFmtId="0" fontId="0" fillId="2" borderId="11" xfId="0" applyFill="1" applyBorder="1" applyAlignment="1">
      <alignment horizontal="center"/>
    </xf>
    <xf numFmtId="0" fontId="8" fillId="3" borderId="12" xfId="0" applyFont="1" applyFill="1" applyBorder="1" applyAlignment="1">
      <alignment wrapText="1"/>
    </xf>
    <xf numFmtId="0" fontId="0" fillId="0" borderId="7" xfId="0" applyBorder="1"/>
    <xf numFmtId="0" fontId="4" fillId="3" borderId="12" xfId="0" applyFont="1" applyFill="1" applyBorder="1" applyAlignment="1">
      <alignment wrapText="1"/>
    </xf>
    <xf numFmtId="9" fontId="7" fillId="6" borderId="11" xfId="0" applyNumberFormat="1" applyFont="1" applyFill="1" applyBorder="1" applyAlignment="1">
      <alignment horizontal="right" wrapText="1"/>
    </xf>
    <xf numFmtId="0" fontId="0" fillId="2" borderId="9" xfId="0" applyFill="1" applyBorder="1" applyAlignment="1">
      <alignment horizontal="center"/>
    </xf>
    <xf numFmtId="0" fontId="0" fillId="9" borderId="7" xfId="0" applyFill="1" applyBorder="1"/>
    <xf numFmtId="9" fontId="0" fillId="4" borderId="9" xfId="0" applyNumberFormat="1" applyFill="1" applyBorder="1" applyProtection="1">
      <protection locked="0"/>
    </xf>
    <xf numFmtId="0" fontId="0" fillId="2" borderId="11" xfId="0" applyFill="1" applyBorder="1" applyAlignment="1">
      <alignment horizontal="left"/>
    </xf>
    <xf numFmtId="0" fontId="7" fillId="0" borderId="4" xfId="0" applyFont="1" applyBorder="1" applyAlignment="1">
      <alignment horizontal="left" vertical="center" wrapText="1"/>
    </xf>
    <xf numFmtId="0" fontId="7" fillId="0" borderId="9" xfId="0" applyFont="1" applyBorder="1" applyAlignment="1">
      <alignment horizontal="left" vertical="center" wrapText="1"/>
    </xf>
    <xf numFmtId="0" fontId="0" fillId="0" borderId="9" xfId="0" applyBorder="1"/>
    <xf numFmtId="0" fontId="0" fillId="2" borderId="16" xfId="0" applyFill="1" applyBorder="1" applyAlignment="1">
      <alignment horizontal="center"/>
    </xf>
    <xf numFmtId="0" fontId="4" fillId="3" borderId="17" xfId="0" applyFont="1" applyFill="1" applyBorder="1" applyAlignment="1">
      <alignment wrapText="1"/>
    </xf>
    <xf numFmtId="0" fontId="8" fillId="3" borderId="16" xfId="0" applyFont="1" applyFill="1" applyBorder="1" applyAlignment="1">
      <alignment horizontal="center"/>
    </xf>
    <xf numFmtId="0" fontId="0" fillId="2" borderId="3" xfId="0" applyFill="1" applyBorder="1" applyProtection="1">
      <protection locked="0"/>
    </xf>
    <xf numFmtId="0" fontId="0" fillId="2" borderId="5" xfId="0" applyFill="1" applyBorder="1" applyProtection="1">
      <protection locked="0"/>
    </xf>
    <xf numFmtId="0" fontId="6" fillId="0" borderId="4" xfId="0" applyFont="1" applyBorder="1" applyAlignment="1">
      <alignment horizontal="left" vertical="center"/>
    </xf>
    <xf numFmtId="0" fontId="0" fillId="0" borderId="16" xfId="0" applyBorder="1"/>
    <xf numFmtId="0" fontId="8" fillId="3" borderId="16" xfId="0" applyFont="1" applyFill="1" applyBorder="1" applyAlignment="1">
      <alignment wrapText="1"/>
    </xf>
    <xf numFmtId="0" fontId="6" fillId="0" borderId="9" xfId="0" applyFont="1" applyBorder="1" applyAlignment="1">
      <alignment horizontal="left" vertical="center"/>
    </xf>
    <xf numFmtId="0" fontId="10" fillId="0" borderId="4" xfId="0" applyFont="1" applyBorder="1" applyAlignment="1">
      <alignment horizontal="left" vertical="center"/>
    </xf>
    <xf numFmtId="9" fontId="10" fillId="4" borderId="4" xfId="0" applyNumberFormat="1" applyFont="1" applyFill="1" applyBorder="1" applyAlignment="1" applyProtection="1">
      <alignment horizontal="right" vertical="center" wrapText="1"/>
      <protection locked="0"/>
    </xf>
    <xf numFmtId="9" fontId="7" fillId="4" borderId="4" xfId="0" applyNumberFormat="1" applyFont="1" applyFill="1" applyBorder="1" applyAlignment="1">
      <alignment horizontal="right" vertical="center" wrapText="1"/>
    </xf>
    <xf numFmtId="9" fontId="7" fillId="4" borderId="4" xfId="0" applyNumberFormat="1" applyFont="1" applyFill="1" applyBorder="1" applyAlignment="1" applyProtection="1">
      <alignment horizontal="right" vertical="center" wrapText="1"/>
      <protection locked="0"/>
    </xf>
    <xf numFmtId="0" fontId="0" fillId="4" borderId="11" xfId="0" applyFill="1" applyBorder="1" applyProtection="1">
      <protection locked="0"/>
    </xf>
    <xf numFmtId="9" fontId="10" fillId="4" borderId="9" xfId="0" applyNumberFormat="1" applyFont="1" applyFill="1" applyBorder="1" applyAlignment="1" applyProtection="1">
      <alignment horizontal="right" vertical="center" wrapText="1"/>
      <protection locked="0"/>
    </xf>
    <xf numFmtId="0" fontId="10" fillId="0" borderId="9" xfId="0" applyFont="1" applyBorder="1" applyAlignment="1">
      <alignment horizontal="left" vertical="center"/>
    </xf>
    <xf numFmtId="0" fontId="14" fillId="0" borderId="2" xfId="0" applyFont="1" applyBorder="1"/>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10" fillId="0" borderId="5" xfId="0" applyFont="1" applyBorder="1" applyAlignment="1">
      <alignment horizontal="left" vertical="center"/>
    </xf>
    <xf numFmtId="0" fontId="7" fillId="9" borderId="11" xfId="0" applyFont="1" applyFill="1" applyBorder="1" applyAlignment="1">
      <alignment horizontal="left" vertical="center" wrapText="1"/>
    </xf>
    <xf numFmtId="0" fontId="7" fillId="0" borderId="11" xfId="0" applyFont="1" applyBorder="1" applyAlignment="1">
      <alignment horizontal="left" vertical="center" wrapText="1"/>
    </xf>
    <xf numFmtId="0" fontId="0" fillId="0" borderId="17" xfId="0" applyBorder="1"/>
    <xf numFmtId="0" fontId="0" fillId="2" borderId="17" xfId="0" applyFill="1" applyBorder="1" applyAlignment="1">
      <alignment horizontal="center"/>
    </xf>
    <xf numFmtId="0" fontId="0" fillId="2" borderId="17" xfId="0" applyFill="1" applyBorder="1"/>
    <xf numFmtId="9" fontId="0" fillId="4" borderId="17" xfId="0" applyNumberFormat="1" applyFill="1" applyBorder="1"/>
    <xf numFmtId="14" fontId="0" fillId="2" borderId="17" xfId="0" applyNumberFormat="1" applyFill="1" applyBorder="1"/>
    <xf numFmtId="0" fontId="8" fillId="3" borderId="17" xfId="0" applyFont="1" applyFill="1" applyBorder="1" applyAlignment="1">
      <alignment horizontal="center"/>
    </xf>
    <xf numFmtId="0" fontId="8" fillId="3" borderId="17" xfId="0" applyFont="1" applyFill="1" applyBorder="1" applyAlignment="1">
      <alignment wrapText="1"/>
    </xf>
    <xf numFmtId="0" fontId="7" fillId="0" borderId="17" xfId="0" applyFont="1" applyBorder="1" applyAlignment="1">
      <alignment horizontal="left" vertical="center" wrapText="1"/>
    </xf>
    <xf numFmtId="0" fontId="0" fillId="2" borderId="16" xfId="0" applyFill="1" applyBorder="1"/>
    <xf numFmtId="0" fontId="15" fillId="0" borderId="8" xfId="0" applyFont="1" applyBorder="1" applyAlignment="1">
      <alignment horizontal="center" vertical="center"/>
    </xf>
    <xf numFmtId="0" fontId="2" fillId="0" borderId="8" xfId="0" applyFont="1" applyBorder="1" applyAlignment="1">
      <alignment horizontal="center" vertical="center"/>
    </xf>
    <xf numFmtId="14" fontId="0" fillId="4" borderId="11" xfId="0" applyNumberFormat="1" applyFill="1" applyBorder="1"/>
    <xf numFmtId="14" fontId="0" fillId="4" borderId="10" xfId="0" applyNumberFormat="1" applyFill="1" applyBorder="1" applyProtection="1">
      <protection locked="0"/>
    </xf>
    <xf numFmtId="14" fontId="0" fillId="4" borderId="4" xfId="0" applyNumberFormat="1" applyFill="1" applyBorder="1" applyProtection="1">
      <protection locked="0"/>
    </xf>
    <xf numFmtId="14" fontId="0" fillId="4" borderId="9" xfId="0" applyNumberFormat="1" applyFill="1" applyBorder="1" applyProtection="1">
      <protection locked="0"/>
    </xf>
    <xf numFmtId="14" fontId="12" fillId="4" borderId="11" xfId="0" applyNumberFormat="1" applyFont="1" applyFill="1" applyBorder="1"/>
    <xf numFmtId="0" fontId="0" fillId="0" borderId="4" xfId="0" applyBorder="1"/>
    <xf numFmtId="0" fontId="5" fillId="0" borderId="18" xfId="0" applyFont="1" applyBorder="1" applyAlignment="1">
      <alignment horizontal="center" vertical="center"/>
    </xf>
    <xf numFmtId="1" fontId="1" fillId="0" borderId="19" xfId="0" applyNumberFormat="1" applyFont="1" applyBorder="1" applyAlignment="1">
      <alignment horizontal="center" vertical="center"/>
    </xf>
    <xf numFmtId="1" fontId="1" fillId="0" borderId="12" xfId="0" applyNumberFormat="1" applyFont="1" applyBorder="1" applyAlignment="1">
      <alignment horizontal="center" vertical="center"/>
    </xf>
    <xf numFmtId="0" fontId="5" fillId="0" borderId="20" xfId="0" applyFont="1" applyBorder="1" applyAlignment="1">
      <alignment horizontal="center" vertical="center"/>
    </xf>
    <xf numFmtId="1" fontId="1" fillId="0" borderId="19" xfId="0" applyNumberFormat="1" applyFont="1" applyBorder="1" applyAlignment="1">
      <alignment horizontal="center" vertical="center" wrapText="1"/>
    </xf>
    <xf numFmtId="16" fontId="7" fillId="4" borderId="11" xfId="0" applyNumberFormat="1" applyFont="1" applyFill="1" applyBorder="1" applyAlignment="1">
      <alignment wrapText="1"/>
    </xf>
    <xf numFmtId="16" fontId="0" fillId="4" borderId="11" xfId="0" applyNumberFormat="1" applyFill="1" applyBorder="1"/>
    <xf numFmtId="0" fontId="15" fillId="0" borderId="1" xfId="0" applyFont="1" applyBorder="1" applyAlignment="1">
      <alignment horizontal="center" vertical="center"/>
    </xf>
    <xf numFmtId="0" fontId="2" fillId="0" borderId="1" xfId="0" applyFont="1" applyBorder="1" applyAlignment="1">
      <alignment horizontal="center" vertical="center"/>
    </xf>
    <xf numFmtId="0" fontId="18" fillId="0" borderId="1" xfId="0" applyFont="1" applyBorder="1" applyAlignment="1">
      <alignment horizontal="center" vertical="center" wrapText="1"/>
    </xf>
    <xf numFmtId="0" fontId="1" fillId="0" borderId="4" xfId="0" applyFont="1" applyBorder="1" applyAlignment="1">
      <alignment horizontal="center" vertical="center"/>
    </xf>
    <xf numFmtId="10" fontId="1" fillId="4" borderId="4" xfId="0" applyNumberFormat="1" applyFont="1" applyFill="1" applyBorder="1" applyAlignment="1">
      <alignment horizontal="center" vertical="center"/>
    </xf>
    <xf numFmtId="0" fontId="1" fillId="0" borderId="19" xfId="0" applyFont="1" applyBorder="1" applyAlignment="1">
      <alignment horizontal="center" vertical="center"/>
    </xf>
    <xf numFmtId="0" fontId="1" fillId="0" borderId="12" xfId="0" applyFont="1" applyBorder="1" applyAlignment="1">
      <alignment horizontal="center" vertical="center"/>
    </xf>
    <xf numFmtId="1" fontId="1" fillId="0" borderId="21" xfId="0" applyNumberFormat="1" applyFont="1" applyBorder="1" applyAlignment="1">
      <alignment horizontal="center" vertical="center"/>
    </xf>
    <xf numFmtId="1" fontId="1" fillId="0" borderId="22" xfId="0" applyNumberFormat="1" applyFont="1" applyBorder="1" applyAlignment="1">
      <alignment horizontal="center" vertical="center"/>
    </xf>
    <xf numFmtId="0" fontId="8" fillId="0" borderId="9" xfId="0" applyFont="1" applyBorder="1"/>
    <xf numFmtId="0" fontId="0" fillId="0" borderId="9" xfId="0" applyBorder="1" applyProtection="1">
      <protection locked="0"/>
    </xf>
    <xf numFmtId="0" fontId="7" fillId="2" borderId="9" xfId="0" applyFont="1" applyFill="1" applyBorder="1" applyAlignment="1">
      <alignment horizontal="left" vertical="center" wrapText="1"/>
    </xf>
    <xf numFmtId="0" fontId="0" fillId="0" borderId="4" xfId="0" applyBorder="1" applyProtection="1">
      <protection locked="0"/>
    </xf>
    <xf numFmtId="0" fontId="8" fillId="3" borderId="4" xfId="0" applyFont="1" applyFill="1" applyBorder="1" applyAlignment="1">
      <alignment horizontal="center"/>
    </xf>
    <xf numFmtId="0" fontId="8" fillId="3" borderId="10" xfId="0" applyFont="1" applyFill="1" applyBorder="1" applyAlignment="1">
      <alignment wrapText="1"/>
    </xf>
    <xf numFmtId="0" fontId="7" fillId="2" borderId="4" xfId="0" applyFont="1" applyFill="1" applyBorder="1" applyAlignment="1">
      <alignment horizontal="left" vertical="center" wrapText="1"/>
    </xf>
    <xf numFmtId="0" fontId="6" fillId="3" borderId="1" xfId="0" applyFont="1" applyFill="1" applyBorder="1" applyAlignment="1">
      <alignment wrapText="1"/>
    </xf>
    <xf numFmtId="0" fontId="7" fillId="3" borderId="1" xfId="0" applyFont="1" applyFill="1" applyBorder="1" applyAlignment="1">
      <alignment wrapText="1"/>
    </xf>
    <xf numFmtId="0" fontId="6" fillId="3" borderId="1" xfId="0" applyFont="1" applyFill="1" applyBorder="1"/>
    <xf numFmtId="16" fontId="0" fillId="4" borderId="4" xfId="0" applyNumberFormat="1" applyFill="1" applyBorder="1" applyProtection="1">
      <protection locked="0"/>
    </xf>
    <xf numFmtId="14" fontId="0" fillId="4" borderId="17" xfId="0" applyNumberFormat="1" applyFill="1" applyBorder="1"/>
    <xf numFmtId="0" fontId="19" fillId="5" borderId="8" xfId="0" applyFont="1" applyFill="1" applyBorder="1"/>
    <xf numFmtId="0" fontId="8" fillId="3" borderId="4" xfId="0" applyFont="1" applyFill="1" applyBorder="1" applyProtection="1">
      <protection locked="0"/>
    </xf>
    <xf numFmtId="16" fontId="6" fillId="4" borderId="11" xfId="0" applyNumberFormat="1" applyFont="1" applyFill="1" applyBorder="1"/>
  </cellXfs>
  <cellStyles count="1">
    <cellStyle name="Normal" xfId="0" builtinId="0"/>
  </cellStyles>
  <dxfs count="48">
    <dxf>
      <font>
        <b val="0"/>
        <i val="0"/>
        <strike val="0"/>
        <condense val="0"/>
        <extend val="0"/>
        <outline val="0"/>
        <shadow val="0"/>
        <u val="none"/>
        <vertAlign val="baseline"/>
        <sz val="11"/>
        <color rgb="FF000000"/>
        <name val="Aptos Narrow"/>
        <family val="2"/>
        <scheme val="none"/>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D9D9D9"/>
          <bgColor rgb="FFD9D9D9"/>
        </patternFill>
      </fill>
      <alignment horizontal="general" vertical="bottom" textRotation="0" wrapText="0" indent="0" justifyLastLine="0" shrinkToFit="0" readingOrder="0"/>
    </dxf>
    <dxf>
      <border outline="0">
        <bottom style="thin">
          <color rgb="FF000000"/>
        </bottom>
      </border>
    </dxf>
    <dxf>
      <border outline="0">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fill>
        <patternFill patternType="solid">
          <fgColor rgb="FFD9D9D9"/>
          <bgColor rgb="FFD9D9D9"/>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rgb="FFD9D9D9"/>
          <bgColor rgb="FFD9D9D9"/>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rgb="FFD9D9D9"/>
          <bgColor rgb="FFD9D9D9"/>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ttom style="thin">
          <color rgb="FF000000"/>
        </bottom>
      </border>
    </dxf>
    <dxf>
      <font>
        <b val="0"/>
        <i val="0"/>
        <strike val="0"/>
        <condense val="0"/>
        <extend val="0"/>
        <outline val="0"/>
        <shadow val="0"/>
        <u val="none"/>
        <vertAlign val="baseline"/>
        <sz val="11"/>
        <color rgb="FF000000"/>
        <name val="Aptos Narrow"/>
        <family val="2"/>
        <scheme val="none"/>
      </font>
      <fill>
        <patternFill patternType="none">
          <fgColor rgb="FFD9D9D9"/>
          <bgColor rgb="FFD9D9D9"/>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ill>
        <patternFill patternType="solid">
          <fgColor indexed="64"/>
          <bgColor theme="0"/>
        </patternFill>
      </fill>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auto="1"/>
        <name val="Aptos Display"/>
        <family val="2"/>
        <scheme val="none"/>
      </font>
      <alignment horizontal="left"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1"/>
        <color rgb="FF0D0D0D"/>
        <name val="Aptos Display"/>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dd/mm/yyyy"/>
      <fill>
        <patternFill patternType="solid">
          <fgColor indexed="64"/>
          <bgColor theme="0"/>
        </patternFill>
      </fill>
      <border diagonalUp="0" diagonalDown="0">
        <left style="thin">
          <color rgb="FF000000"/>
        </left>
        <right style="thin">
          <color rgb="FF000000"/>
        </right>
        <top style="thin">
          <color rgb="FF000000"/>
        </top>
        <bottom/>
        <vertical/>
        <horizontal/>
      </border>
    </dxf>
    <dxf>
      <numFmt numFmtId="19" formatCode="dd/mm/yyyy"/>
      <fill>
        <patternFill patternType="solid">
          <fgColor indexed="64"/>
          <bgColor theme="0"/>
        </patternFill>
      </fill>
      <border diagonalUp="0" diagonalDown="0">
        <left style="thin">
          <color rgb="FF000000"/>
        </left>
        <right style="thin">
          <color rgb="FF000000"/>
        </right>
        <top style="thin">
          <color rgb="FF000000"/>
        </top>
        <bottom/>
        <vertical/>
        <horizontal/>
      </border>
    </dxf>
    <dxf>
      <fill>
        <patternFill patternType="solid">
          <fgColor indexed="64"/>
          <bgColor theme="0"/>
        </patternFill>
      </fill>
      <border diagonalUp="0" diagonalDown="0">
        <left style="thin">
          <color rgb="FF000000"/>
        </left>
        <right/>
        <top style="thin">
          <color rgb="FF000000"/>
        </top>
        <bottom/>
        <vertical/>
        <horizontal/>
      </border>
    </dxf>
    <dxf>
      <numFmt numFmtId="13" formatCode="0%"/>
      <fill>
        <patternFill patternType="solid">
          <fgColor indexed="64"/>
          <bgColor rgb="FFFFFF00"/>
        </patternFill>
      </fill>
      <border diagonalUp="0" diagonalDown="0">
        <left style="thin">
          <color rgb="FF000000"/>
        </left>
        <right style="thin">
          <color rgb="FF000000"/>
        </right>
        <top style="thin">
          <color rgb="FF000000"/>
        </top>
        <bottom/>
        <vertical/>
        <horizontal/>
      </border>
      <protection locked="0" hidden="0"/>
    </dxf>
    <dxf>
      <fill>
        <patternFill patternType="solid">
          <fgColor indexed="64"/>
          <bgColor rgb="FFFFFF00"/>
        </patternFill>
      </fill>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0"/>
        </patternFill>
      </fill>
      <border diagonalUp="0" diagonalDown="0">
        <left style="thin">
          <color rgb="FF000000"/>
        </left>
        <right style="thin">
          <color rgb="FF000000"/>
        </right>
        <top style="thin">
          <color rgb="FF000000"/>
        </top>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D0D0D"/>
        <name val="Segoe UI"/>
        <family val="2"/>
        <scheme val="none"/>
      </font>
      <fill>
        <patternFill patternType="solid">
          <fgColor rgb="FF000000"/>
          <bgColor rgb="FFFFFFFF"/>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rgb="FF000000"/>
        </left>
        <right style="thin">
          <color rgb="FF000000"/>
        </right>
        <top style="thin">
          <color rgb="FF000000"/>
        </top>
        <bottom/>
        <vertical/>
        <horizontal/>
      </border>
    </dxf>
    <dxf>
      <border outline="0">
        <bottom style="thin">
          <color rgb="FF000000"/>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ptos Narrow"/>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ptos Narrow"/>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numFmt numFmtId="19"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Aptos Narrow"/>
        <family val="2"/>
        <scheme val="minor"/>
      </font>
      <numFmt numFmtId="19"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Aptos Narrow"/>
        <family val="2"/>
        <scheme val="minor"/>
      </font>
      <numFmt numFmtId="14" formatCode="0.00%"/>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9"/>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D0D0D"/>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9"/>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9"/>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top style="thin">
          <color indexed="64"/>
        </top>
        <bottom style="thin">
          <color rgb="FF000000"/>
        </bottom>
      </border>
    </dxf>
    <dxf>
      <font>
        <b/>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C9BA15-E145-4E8A-9FA2-EA56AA1E040A}" name="Tabela5" displayName="Tabela5" ref="A1:O109" totalsRowShown="0" headerRowDxfId="47" headerRowBorderDxfId="45" tableBorderDxfId="46">
  <autoFilter ref="A1:O109" xr:uid="{45C9BA15-E145-4E8A-9FA2-EA56AA1E040A}">
    <filterColumn colId="1">
      <filters>
        <filter val="Licenciamento &amp; Regulatório"/>
      </filters>
    </filterColumn>
  </autoFilter>
  <tableColumns count="15">
    <tableColumn id="1" xr3:uid="{5E71AC96-F25F-4BE7-B54A-2590B4FDCE17}" name="ID_Area" dataDxfId="44">
      <calculatedColumnFormula>IFERROR(INDEX(Tabela2[ID_Area], MATCH(B2,Tabela2[Area], 0)), "Não encontrado")</calculatedColumnFormula>
    </tableColumn>
    <tableColumn id="2" xr3:uid="{69572C0E-01E0-49FF-AF37-2A183ABCBD6E}" name="Área" dataDxfId="43"/>
    <tableColumn id="3" xr3:uid="{01D0B00C-FF04-4CCA-BAE0-FDB0CC85081A}" name="Tema" dataDxfId="42"/>
    <tableColumn id="4" xr3:uid="{CC03D352-1E51-4042-B3EB-FB83FE96828F}" name="ID_Meta" dataDxfId="41">
      <calculatedColumnFormula>ROW(D2) +98</calculatedColumnFormula>
    </tableColumn>
    <tableColumn id="5" xr3:uid="{B2157639-CAD0-441B-843D-4274172F3B1B}" name="Descrição da Meta" dataDxfId="40"/>
    <tableColumn id="6" xr3:uid="{137848C8-A15F-4F12-B3A7-A4AF52B199F4}" name="Status da Meta" dataDxfId="39">
      <calculatedColumnFormula>IF(G2=1,"Concluído",
   IF(TODAY()&gt;I2,"Atrasado",
      IF(AND(G2=0,TODAY()&lt;I2),"Não iniciado",
         "Em Andamento")))</calculatedColumnFormula>
    </tableColumn>
    <tableColumn id="7" xr3:uid="{C34FB0CF-7522-4BAC-AF89-D3EFA94B64A7}" name="% Avanço" dataDxfId="38">
      <calculatedColumnFormula array="1">SUMPRODUCT(
    (Atividades!$E$2:$E$598=Metas!E2) * (Atividades!$O$2:$O$598=Metas!L2),
    Atividades!$I$2:$I$598,
    Atividades!$J$2:$J$598
) / SUMPRODUCT(
    (Atividades!$E$2:$E$598=Metas!E2) * (Atividades!$O$2:$O$598=Metas!L2),
    Atividades!$J$2:$J$598
)</calculatedColumnFormula>
    </tableColumn>
    <tableColumn id="8" xr3:uid="{41AC886C-9CFF-452A-9FDE-387E1C003DDC}" name="Data Inicio" dataDxfId="37"/>
    <tableColumn id="9" xr3:uid="{4E7AD2F7-5881-4A95-8E0A-58D5981ABDFB}" name="Data Fim" dataDxfId="36"/>
    <tableColumn id="10" xr3:uid="{55E9ABC1-D58A-451C-9735-0129E20AC1D5}" name="Duração" dataDxfId="35">
      <calculatedColumnFormula>I2-H2</calculatedColumnFormula>
    </tableColumn>
    <tableColumn id="11" xr3:uid="{45D58D74-5251-4661-8EF4-F61DE3EF1469}" name="ID_Responsavel" dataDxfId="34">
      <calculatedColumnFormula>IFERROR(INDEX(Tabela3[ID_Responsavel], MATCH(L2,Tabela3[[Responsáveis ]], 0)), "Não encontrado")</calculatedColumnFormula>
    </tableColumn>
    <tableColumn id="12" xr3:uid="{82099ED7-CDD1-405D-89B5-7B3C6C3F2FED}" name="Responsável" dataDxfId="33"/>
    <tableColumn id="13" xr3:uid="{158E1314-72FC-46DC-89B8-D4C0072313CD}" name="Empresa" dataDxfId="32"/>
    <tableColumn id="14" xr3:uid="{43F70DDE-22E8-4DF4-B6E5-93FA08B78D7F}" name="Observação de Acompanhamento" dataDxfId="31"/>
    <tableColumn id="16" xr3:uid="{D6447FC8-238D-4E26-AEAC-6749D4BC4CB5}" name="Concluí em 2025?" dataDxfId="30"/>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241112-EE4D-495C-8567-BB7FF0D15BF6}" name="Tabela7" displayName="Tabela7" ref="A1:Q598" totalsRowShown="0" tableBorderDxfId="29">
  <autoFilter ref="A1:Q598" xr:uid="{2F241112-EE4D-495C-8567-BB7FF0D15BF6}">
    <filterColumn colId="14">
      <filters>
        <filter val="Edimar Dias"/>
      </filters>
    </filterColumn>
  </autoFilter>
  <tableColumns count="17">
    <tableColumn id="1" xr3:uid="{0C4F7B2B-01ED-4287-8863-F199ADDEB2E2}" name="ID_Area" dataDxfId="28">
      <calculatedColumnFormula>IFERROR(INDEX(Tabela2[ID_Area], MATCH(B2,Tabela2[Area], 0)), "Não encontrado")</calculatedColumnFormula>
    </tableColumn>
    <tableColumn id="2" xr3:uid="{95830D78-8F43-4384-A09C-F5CF50858151}" name="Área" dataDxfId="27"/>
    <tableColumn id="3" xr3:uid="{AA847158-A7DE-4E9B-A040-89CAF3541333}" name="Tema" dataDxfId="26"/>
    <tableColumn id="4" xr3:uid="{F79D66CD-9ECD-4E7B-92F1-7171E19E490B}" name="ID_Meta" dataDxfId="25">
      <calculatedColumnFormula>IFERROR(INDEX(Metas!$D$2:$D$109, MATCH(E2,Metas!$E$2:$E$109, 0)), "Não encontrado")</calculatedColumnFormula>
    </tableColumn>
    <tableColumn id="5" xr3:uid="{AF71F4A4-C99C-4CF4-BAAB-C715AB708B3C}" name="Descrição da Meta" dataDxfId="24"/>
    <tableColumn id="6" xr3:uid="{44DCA228-11FB-4290-A6B3-50BA00DF2E58}" name="Atividade" dataDxfId="23"/>
    <tableColumn id="7" xr3:uid="{AC4C5652-9152-4302-B124-AD057630D3C6}" name="Status da Atividade" dataDxfId="22"/>
    <tableColumn id="8" xr3:uid="{DC2D21CA-925E-4BA1-B77C-D228287342D8}" name="Data de Conclusão" dataDxfId="21"/>
    <tableColumn id="9" xr3:uid="{6A93FD09-41C8-411D-A1BA-00A7DA68148D}" name="% Concluído" dataDxfId="20"/>
    <tableColumn id="10" xr3:uid="{089B9D92-01AA-4621-A32C-90E9CBE6FBC9}" name="Peso da tarefa" dataDxfId="19">
      <calculatedColumnFormula>IFERROR( M2 / SUMIFS($M:$M, $E:$E, $E2, $O:$O, $O2) * 120, 0 )</calculatedColumnFormula>
    </tableColumn>
    <tableColumn id="11" xr3:uid="{FC25BFD5-31D3-4183-980B-05AE1C4F4900}" name="Data Inicio" dataDxfId="18"/>
    <tableColumn id="12" xr3:uid="{601F895F-480A-49D9-88C4-8EF4607A9CCB}" name="Data Fim" dataDxfId="17"/>
    <tableColumn id="13" xr3:uid="{5FD4606E-B5F4-431A-A3E6-14FD5CD71C30}" name="Duração" dataDxfId="16">
      <calculatedColumnFormula xml:space="preserve"> L2 - K2 + 1</calculatedColumnFormula>
    </tableColumn>
    <tableColumn id="14" xr3:uid="{7A8CA59B-00D0-4FA2-9B43-B9F9A8B2069A}" name="ID_Responsavel" dataDxfId="15">
      <calculatedColumnFormula>IFERROR(INDEX(Tabela3[ID_Responsavel], MATCH(O2,Tabela3[[Responsáveis ]], 0)), "Não encontrado")</calculatedColumnFormula>
    </tableColumn>
    <tableColumn id="15" xr3:uid="{5090D38F-586A-42D9-A423-B1703FA33574}" name="Responsável" dataDxfId="14"/>
    <tableColumn id="16" xr3:uid="{4CE2DC60-7507-4387-997B-EE3744EE536E}" name="Empresa" dataDxfId="13"/>
    <tableColumn id="17" xr3:uid="{E64CEBDA-D991-4150-9AAE-15B401E3B26B}" name="Observação de Acompanhamento" dataDxfId="1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EC501D-2432-40A2-98A8-AAC234AB77B0}" name="Tabela3" displayName="Tabela3" ref="A1:B28" totalsRowShown="0" headerRowDxfId="11" dataDxfId="10" headerRowBorderDxfId="8" tableBorderDxfId="9">
  <autoFilter ref="A1:B28" xr:uid="{58EC501D-2432-40A2-98A8-AAC234AB77B0}"/>
  <tableColumns count="2">
    <tableColumn id="1" xr3:uid="{B950890B-C719-432E-9081-AC0B812358C5}" name="ID_Responsavel" dataDxfId="7"/>
    <tableColumn id="2" xr3:uid="{E016D912-996A-42A3-BE3A-B5B42485DFFA}" name="Responsáveis " dataDxfId="6"/>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B360B-9FE0-46E3-B9F5-CCEBCDBCFB38}" name="Tabela2" displayName="Tabela2" ref="A1:B6" totalsRowShown="0" headerRowDxfId="5" dataDxfId="4" headerRowBorderDxfId="2" tableBorderDxfId="3">
  <autoFilter ref="A1:B6" xr:uid="{085B360B-9FE0-46E3-B9F5-CCEBCDBCFB38}"/>
  <tableColumns count="2">
    <tableColumn id="1" xr3:uid="{30A31EBE-0277-461B-AB7E-A56989980348}" name="ID_Area" dataDxfId="1"/>
    <tableColumn id="2" xr3:uid="{A79F87CE-D61F-468B-8C22-25DBDBF16D63}" name="Area" dataDxfId="0"/>
  </tableColumns>
  <tableStyleInfo showFirstColumn="0" showLastColumn="0" showRowStripes="0"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77A8-A594-4CB9-B282-CBD1D8B12B1C}">
  <dimension ref="A1:Q109"/>
  <sheetViews>
    <sheetView topLeftCell="E1" zoomScale="90" zoomScaleNormal="90" workbookViewId="0">
      <pane ySplit="1" topLeftCell="E101" activePane="bottomLeft" state="frozen"/>
      <selection pane="bottomLeft" activeCell="I130" sqref="I130"/>
    </sheetView>
  </sheetViews>
  <sheetFormatPr defaultRowHeight="15" customHeight="1"/>
  <cols>
    <col min="1" max="1" width="36.5703125" bestFit="1" customWidth="1"/>
    <col min="2" max="2" width="25.42578125" style="3" bestFit="1" customWidth="1"/>
    <col min="3" max="3" width="32.140625" style="3" bestFit="1" customWidth="1"/>
    <col min="4" max="4" width="16.5703125" style="3" customWidth="1"/>
    <col min="5" max="5" width="145.140625" style="3" bestFit="1" customWidth="1"/>
    <col min="6" max="6" width="13.5703125" style="3" bestFit="1" customWidth="1"/>
    <col min="7" max="7" width="9.85546875" style="3" bestFit="1" customWidth="1"/>
    <col min="8" max="9" width="10.85546875" style="3" bestFit="1" customWidth="1"/>
    <col min="10" max="10" width="10.42578125" style="3" customWidth="1"/>
    <col min="11" max="11" width="36.5703125" style="3" bestFit="1" customWidth="1"/>
    <col min="12" max="12" width="15.140625" style="3" bestFit="1" customWidth="1"/>
    <col min="13" max="13" width="10.5703125" style="3" bestFit="1" customWidth="1"/>
    <col min="14" max="14" width="27" style="3" bestFit="1" customWidth="1"/>
    <col min="15" max="15" width="15.5703125" bestFit="1" customWidth="1"/>
    <col min="17" max="17" width="9.140625" hidden="1" customWidth="1"/>
  </cols>
  <sheetData>
    <row r="1" spans="1:17" s="3" customFormat="1" ht="30" customHeight="1">
      <c r="A1" s="139" t="s">
        <v>0</v>
      </c>
      <c r="B1" s="140" t="s">
        <v>1</v>
      </c>
      <c r="C1" s="140" t="s">
        <v>2</v>
      </c>
      <c r="D1" s="140" t="s">
        <v>3</v>
      </c>
      <c r="E1" s="140" t="s">
        <v>4</v>
      </c>
      <c r="F1" s="140" t="s">
        <v>5</v>
      </c>
      <c r="G1" s="140" t="s">
        <v>6</v>
      </c>
      <c r="H1" s="140" t="s">
        <v>7</v>
      </c>
      <c r="I1" s="140" t="s">
        <v>8</v>
      </c>
      <c r="J1" s="140" t="s">
        <v>9</v>
      </c>
      <c r="K1" s="141" t="s">
        <v>10</v>
      </c>
      <c r="L1" s="140" t="s">
        <v>11</v>
      </c>
      <c r="M1" s="140" t="s">
        <v>12</v>
      </c>
      <c r="N1" s="162" t="s">
        <v>13</v>
      </c>
      <c r="O1" s="165" t="s">
        <v>14</v>
      </c>
    </row>
    <row r="2" spans="1:17">
      <c r="A2" s="4">
        <f>IFERROR(INDEX(Tabela2[ID_Area], MATCH(B2,Tabela2[Area], 0)), "Não encontrado")</f>
        <v>1004</v>
      </c>
      <c r="B2" s="4" t="s">
        <v>15</v>
      </c>
      <c r="C2" s="4" t="s">
        <v>16</v>
      </c>
      <c r="D2" s="4">
        <f>ROW(D2) +98</f>
        <v>100</v>
      </c>
      <c r="E2" s="4" t="s">
        <v>17</v>
      </c>
      <c r="F2" s="4" t="str">
        <f ca="1">IF(G2=1,"Concluído",
   IF(TODAY()&gt;I2,"Atrasado",
      IF(AND(G2=0,TODAY()&lt;I2),"Não iniciado",
         "Em Andamento")))</f>
        <v>Atrasado</v>
      </c>
      <c r="G2" s="6" cm="1">
        <f t="array" ref="G2">SUMPRODUCT(
    (Atividades!$E$2:$E$598=Metas!E2) * (Atividades!$O$2:$O$598=Metas!L2),
    Atividades!$I$2:$I$598,
    Atividades!$J$2:$J$598
) / SUMPRODUCT(
    (Atividades!$E$2:$E$598=Metas!E2) * (Atividades!$O$2:$O$598=Metas!L2),
    Atividades!$J$2:$J$598
)</f>
        <v>0.96842827728208647</v>
      </c>
      <c r="H2" s="7">
        <v>45658</v>
      </c>
      <c r="I2" s="7">
        <v>46008</v>
      </c>
      <c r="J2" s="5">
        <f t="shared" ref="J2:J27" si="0">I2-H2</f>
        <v>350</v>
      </c>
      <c r="K2" s="5">
        <f>IFERROR(INDEX(Tabela3[ID_Responsavel], MATCH(L2,Tabela3[[Responsáveis ]], 0)), "Não encontrado")</f>
        <v>25</v>
      </c>
      <c r="L2" s="5" t="s">
        <v>18</v>
      </c>
      <c r="M2" s="5" t="s">
        <v>19</v>
      </c>
      <c r="N2" s="163" t="s">
        <v>20</v>
      </c>
      <c r="O2" s="161" t="s">
        <v>21</v>
      </c>
      <c r="Q2" t="s">
        <v>22</v>
      </c>
    </row>
    <row r="3" spans="1:17">
      <c r="A3" s="4">
        <f>IFERROR(INDEX(Tabela2[ID_Area], MATCH(B3,Tabela2[Area], 0)), "Não encontrado")</f>
        <v>1004</v>
      </c>
      <c r="B3" s="4" t="s">
        <v>15</v>
      </c>
      <c r="C3" s="4" t="s">
        <v>16</v>
      </c>
      <c r="D3" s="4">
        <f t="shared" ref="D3:D59" si="1">ROW(D3) +98</f>
        <v>101</v>
      </c>
      <c r="E3" s="4" t="s">
        <v>23</v>
      </c>
      <c r="F3" s="4" t="str">
        <f t="shared" ref="F3:F56" ca="1" si="2">IF(G3=1,"Concluído",
   IF(TODAY()&gt;I3,"Atrasado",
      IF(AND(G3=0,TODAY()&lt;I3),"Não iniciado",
         "Em Andamento")))</f>
        <v>Concluído</v>
      </c>
      <c r="G3" s="6" cm="1">
        <f t="array" ref="G3">SUMPRODUCT(
    (Atividades!$E$2:$E$598=Metas!E3) * (Atividades!$O$2:$O$598=Metas!L3),
    Atividades!$I$2:$I$598,
    Atividades!$J$2:$J$598
) / SUMPRODUCT(
    (Atividades!$E$2:$E$598=Metas!E3) * (Atividades!$O$2:$O$598=Metas!L3),
    Atividades!$J$2:$J$598
)</f>
        <v>1</v>
      </c>
      <c r="H3" s="7">
        <v>45658</v>
      </c>
      <c r="I3" s="22">
        <v>45933</v>
      </c>
      <c r="J3" s="5">
        <f t="shared" si="0"/>
        <v>275</v>
      </c>
      <c r="K3" s="5">
        <f>IFERROR(INDEX(Tabela3[ID_Responsavel], MATCH(L3,Tabela3[[Responsáveis ]], 0)), "Não encontrado")</f>
        <v>25</v>
      </c>
      <c r="L3" s="5" t="s">
        <v>18</v>
      </c>
      <c r="M3" s="5" t="s">
        <v>19</v>
      </c>
      <c r="N3" s="163"/>
      <c r="O3" s="161"/>
      <c r="Q3" t="s">
        <v>21</v>
      </c>
    </row>
    <row r="4" spans="1:17">
      <c r="A4" s="4">
        <f>IFERROR(INDEX(Tabela2[ID_Area], MATCH(B4,Tabela2[Area], 0)), "Não encontrado")</f>
        <v>1004</v>
      </c>
      <c r="B4" s="4" t="s">
        <v>15</v>
      </c>
      <c r="C4" s="4" t="s">
        <v>24</v>
      </c>
      <c r="D4" s="4">
        <f t="shared" si="1"/>
        <v>102</v>
      </c>
      <c r="E4" s="4" t="s">
        <v>25</v>
      </c>
      <c r="F4" s="4" t="str">
        <f t="shared" ca="1" si="2"/>
        <v>Atrasado</v>
      </c>
      <c r="G4" s="6" cm="1">
        <f t="array" ref="G4">SUMPRODUCT(
    (Atividades!$E$2:$E$598=Metas!E4) * (Atividades!$O$2:$O$598=Metas!L4),
    Atividades!$I$2:$I$598,
    Atividades!$J$2:$J$598
) / SUMPRODUCT(
    (Atividades!$E$2:$E$598=Metas!E4) * (Atividades!$O$2:$O$598=Metas!L4),
    Atividades!$J$2:$J$598
)</f>
        <v>0.78294884547069266</v>
      </c>
      <c r="H4" s="7">
        <v>45717</v>
      </c>
      <c r="I4" s="7">
        <v>45960</v>
      </c>
      <c r="J4" s="5">
        <f t="shared" si="0"/>
        <v>243</v>
      </c>
      <c r="K4" s="5">
        <f>IFERROR(INDEX(Tabela3[ID_Responsavel], MATCH(L4,Tabela3[[Responsáveis ]], 0)), "Não encontrado")</f>
        <v>25</v>
      </c>
      <c r="L4" s="5" t="s">
        <v>18</v>
      </c>
      <c r="M4" s="5" t="s">
        <v>19</v>
      </c>
      <c r="N4" s="163" t="s">
        <v>26</v>
      </c>
      <c r="O4" s="161" t="s">
        <v>21</v>
      </c>
    </row>
    <row r="5" spans="1:17">
      <c r="A5" s="4">
        <f>IFERROR(INDEX(Tabela2[ID_Area], MATCH(B5,Tabela2[Area], 0)), "Não encontrado")</f>
        <v>1004</v>
      </c>
      <c r="B5" s="4" t="s">
        <v>15</v>
      </c>
      <c r="C5" s="4" t="s">
        <v>16</v>
      </c>
      <c r="D5" s="4">
        <f t="shared" si="1"/>
        <v>103</v>
      </c>
      <c r="E5" s="4" t="s">
        <v>27</v>
      </c>
      <c r="F5" s="4" t="str">
        <f t="shared" ca="1" si="2"/>
        <v>Concluído</v>
      </c>
      <c r="G5" s="6" cm="1">
        <f t="array" ref="G5">SUMPRODUCT(
    (Atividades!$E$2:$E$598=Metas!E5) * (Atividades!$O$2:$O$598=Metas!L5),
    Atividades!$I$2:$I$598,
    Atividades!$J$2:$J$598
) / SUMPRODUCT(
    (Atividades!$E$2:$E$598=Metas!E5) * (Atividades!$O$2:$O$598=Metas!L5),
    Atividades!$J$2:$J$598
)</f>
        <v>1</v>
      </c>
      <c r="H5" s="7">
        <v>45659</v>
      </c>
      <c r="I5" s="7">
        <v>46004</v>
      </c>
      <c r="J5" s="5">
        <f t="shared" si="0"/>
        <v>345</v>
      </c>
      <c r="K5" s="5">
        <f>IFERROR(INDEX(Tabela3[ID_Responsavel], MATCH(L5,Tabela3[[Responsáveis ]], 0)), "Não encontrado")</f>
        <v>25</v>
      </c>
      <c r="L5" s="5" t="s">
        <v>18</v>
      </c>
      <c r="M5" s="5" t="s">
        <v>19</v>
      </c>
      <c r="N5" s="163"/>
      <c r="O5" s="161"/>
    </row>
    <row r="6" spans="1:17">
      <c r="A6" s="4">
        <f>IFERROR(INDEX(Tabela2[ID_Area], MATCH(B6,Tabela2[Area], 0)), "Não encontrado")</f>
        <v>1004</v>
      </c>
      <c r="B6" s="4" t="s">
        <v>15</v>
      </c>
      <c r="C6" s="4" t="s">
        <v>16</v>
      </c>
      <c r="D6" s="4">
        <f t="shared" si="1"/>
        <v>104</v>
      </c>
      <c r="E6" s="4" t="s">
        <v>28</v>
      </c>
      <c r="F6" s="4" t="str">
        <f t="shared" ca="1" si="2"/>
        <v>Concluído</v>
      </c>
      <c r="G6" s="6" cm="1">
        <f t="array" ref="G6">SUMPRODUCT(
    (Atividades!$E$2:$E$598=Metas!E6) * (Atividades!$O$2:$O$598=Metas!L6),
    Atividades!$I$2:$I$598,
    Atividades!$J$2:$J$598
) / SUMPRODUCT(
    (Atividades!$E$2:$E$598=Metas!E6) * (Atividades!$O$2:$O$598=Metas!L6),
    Atividades!$J$2:$J$598
)</f>
        <v>1</v>
      </c>
      <c r="H6" s="7">
        <v>45901</v>
      </c>
      <c r="I6" s="7">
        <v>46006</v>
      </c>
      <c r="J6" s="5">
        <f t="shared" si="0"/>
        <v>105</v>
      </c>
      <c r="K6" s="5">
        <f>IFERROR(INDEX(Tabela3[ID_Responsavel], MATCH(L6,Tabela3[[Responsáveis ]], 0)), "Não encontrado")</f>
        <v>25</v>
      </c>
      <c r="L6" s="5" t="s">
        <v>18</v>
      </c>
      <c r="M6" s="5" t="s">
        <v>19</v>
      </c>
      <c r="N6" s="163"/>
      <c r="O6" s="161"/>
    </row>
    <row r="7" spans="1:17">
      <c r="A7" s="4">
        <f>IFERROR(INDEX(Tabela2[ID_Area], MATCH(B7,Tabela2[Area], 0)), "Não encontrado")</f>
        <v>1004</v>
      </c>
      <c r="B7" s="4" t="s">
        <v>15</v>
      </c>
      <c r="C7" s="4" t="s">
        <v>24</v>
      </c>
      <c r="D7" s="4">
        <f t="shared" si="1"/>
        <v>105</v>
      </c>
      <c r="E7" s="4" t="s">
        <v>29</v>
      </c>
      <c r="F7" s="4" t="str">
        <f ca="1">IF(G7=1,"Concluído",
   IF(TODAY()&gt;I7,"Atrasado",
      IF(AND(G7=0,TODAY()&lt;I7),"Não iniciado",
         "Em Andamento")))</f>
        <v>Concluído</v>
      </c>
      <c r="G7" s="6" cm="1">
        <f t="array" ref="G7">SUMPRODUCT(
    (Atividades!$E$2:$E$598=Metas!E7) * (Atividades!$O$2:$O$598=Metas!L7),
    Atividades!$I$2:$I$598,
    Atividades!$J$2:$J$598
) / SUMPRODUCT(
    (Atividades!$E$2:$E$598=Metas!E7) * (Atividades!$O$2:$O$598=Metas!L7),
    Atividades!$J$2:$J$598
)</f>
        <v>1</v>
      </c>
      <c r="H7" s="21">
        <v>45658</v>
      </c>
      <c r="I7" s="21">
        <v>45901</v>
      </c>
      <c r="J7" s="5">
        <f t="shared" si="0"/>
        <v>243</v>
      </c>
      <c r="K7" s="5">
        <f>IFERROR(INDEX(Tabela3[ID_Responsavel], MATCH(L7,Tabela3[[Responsáveis ]], 0)), "Não encontrado")</f>
        <v>3</v>
      </c>
      <c r="L7" s="5" t="s">
        <v>30</v>
      </c>
      <c r="M7" s="5" t="s">
        <v>31</v>
      </c>
      <c r="N7" s="163"/>
      <c r="O7" s="161"/>
    </row>
    <row r="8" spans="1:17">
      <c r="A8" s="4">
        <f>IFERROR(INDEX(Tabela2[ID_Area], MATCH(B8,Tabela2[Area], 0)), "Não encontrado")</f>
        <v>1004</v>
      </c>
      <c r="B8" s="4" t="s">
        <v>15</v>
      </c>
      <c r="C8" s="4" t="s">
        <v>24</v>
      </c>
      <c r="D8" s="4">
        <f t="shared" si="1"/>
        <v>106</v>
      </c>
      <c r="E8" s="4" t="s">
        <v>32</v>
      </c>
      <c r="F8" s="4" t="str">
        <f t="shared" ca="1" si="2"/>
        <v>Concluído</v>
      </c>
      <c r="G8" s="6" cm="1">
        <f t="array" ref="G8">SUMPRODUCT(
    (Atividades!$E$2:$E$598=Metas!E8) * (Atividades!$O$2:$O$598=Metas!L8),
    Atividades!$I$2:$I$598,
    Atividades!$J$2:$J$598
) / SUMPRODUCT(
    (Atividades!$E$2:$E$598=Metas!E8) * (Atividades!$O$2:$O$598=Metas!L8),
    Atividades!$J$2:$J$598
)</f>
        <v>1</v>
      </c>
      <c r="H8" s="21">
        <v>45677</v>
      </c>
      <c r="I8" s="21">
        <v>46021</v>
      </c>
      <c r="J8" s="5">
        <f t="shared" si="0"/>
        <v>344</v>
      </c>
      <c r="K8" s="5">
        <f>IFERROR(INDEX(Tabela3[ID_Responsavel], MATCH(L8,Tabela3[[Responsáveis ]], 0)), "Não encontrado")</f>
        <v>3</v>
      </c>
      <c r="L8" s="5" t="s">
        <v>30</v>
      </c>
      <c r="M8" s="5" t="s">
        <v>31</v>
      </c>
      <c r="N8" s="163"/>
      <c r="O8" s="161"/>
    </row>
    <row r="9" spans="1:17">
      <c r="A9" s="4">
        <f>IFERROR(INDEX(Tabela2[ID_Area], MATCH(B9,Tabela2[Area], 0)), "Não encontrado")</f>
        <v>1004</v>
      </c>
      <c r="B9" s="4" t="s">
        <v>15</v>
      </c>
      <c r="C9" s="4" t="s">
        <v>33</v>
      </c>
      <c r="D9" s="4">
        <f t="shared" si="1"/>
        <v>107</v>
      </c>
      <c r="E9" s="4" t="s">
        <v>34</v>
      </c>
      <c r="F9" s="4" t="str">
        <f t="shared" ca="1" si="2"/>
        <v>Concluído</v>
      </c>
      <c r="G9" s="6" cm="1">
        <f t="array" ref="G9">SUMPRODUCT(
    (Atividades!$E$2:$E$598=Metas!E9) * (Atividades!$O$2:$O$598=Metas!L9),
    Atividades!$I$2:$I$598,
    Atividades!$J$2:$J$598
) / SUMPRODUCT(
    (Atividades!$E$2:$E$598=Metas!E9) * (Atividades!$O$2:$O$598=Metas!L9),
    Atividades!$J$2:$J$598
)</f>
        <v>1</v>
      </c>
      <c r="H9" s="21">
        <v>45677</v>
      </c>
      <c r="I9" s="21">
        <v>46021</v>
      </c>
      <c r="J9" s="5">
        <f t="shared" si="0"/>
        <v>344</v>
      </c>
      <c r="K9" s="5">
        <f>IFERROR(INDEX(Tabela3[ID_Responsavel], MATCH(L9,Tabela3[[Responsáveis ]], 0)), "Não encontrado")</f>
        <v>3</v>
      </c>
      <c r="L9" s="5" t="s">
        <v>30</v>
      </c>
      <c r="M9" s="5" t="s">
        <v>31</v>
      </c>
      <c r="N9" s="163"/>
      <c r="O9" s="161" t="s">
        <v>22</v>
      </c>
    </row>
    <row r="10" spans="1:17">
      <c r="A10" s="4">
        <f>IFERROR(INDEX(Tabela2[ID_Area], MATCH(B10,Tabela2[Area], 0)), "Não encontrado")</f>
        <v>1004</v>
      </c>
      <c r="B10" s="4" t="s">
        <v>15</v>
      </c>
      <c r="C10" s="4" t="s">
        <v>16</v>
      </c>
      <c r="D10" s="4">
        <f t="shared" si="1"/>
        <v>108</v>
      </c>
      <c r="E10" s="4" t="s">
        <v>35</v>
      </c>
      <c r="F10" s="4" t="str">
        <f t="shared" ca="1" si="2"/>
        <v>Concluído</v>
      </c>
      <c r="G10" s="6" cm="1">
        <f t="array" ref="G10">SUMPRODUCT(
    (Atividades!$E$2:$E$598=Metas!E10) * (Atividades!$O$2:$O$598=Metas!L10),
    Atividades!$I$2:$I$598,
    Atividades!$J$2:$J$598
) / SUMPRODUCT(
    (Atividades!$E$2:$E$598=Metas!E10) * (Atividades!$O$2:$O$598=Metas!L10),
    Atividades!$J$2:$J$598
)</f>
        <v>1</v>
      </c>
      <c r="H10" s="21">
        <v>45659</v>
      </c>
      <c r="I10" s="21">
        <v>46004</v>
      </c>
      <c r="J10" s="5">
        <f t="shared" si="0"/>
        <v>345</v>
      </c>
      <c r="K10" s="5">
        <f>IFERROR(INDEX(Tabela3[ID_Responsavel], MATCH(L10,Tabela3[[Responsáveis ]], 0)), "Não encontrado")</f>
        <v>3</v>
      </c>
      <c r="L10" s="5" t="s">
        <v>30</v>
      </c>
      <c r="M10" s="5" t="s">
        <v>31</v>
      </c>
      <c r="N10" s="163"/>
      <c r="O10" s="161"/>
    </row>
    <row r="11" spans="1:17" ht="48" customHeight="1">
      <c r="A11" s="4">
        <f>IFERROR(INDEX(Tabela2[ID_Area], MATCH(B11,Tabela2[Area], 0)), "Não encontrado")</f>
        <v>1004</v>
      </c>
      <c r="B11" s="4" t="s">
        <v>15</v>
      </c>
      <c r="C11" s="4" t="s">
        <v>16</v>
      </c>
      <c r="D11" s="4">
        <f t="shared" si="1"/>
        <v>109</v>
      </c>
      <c r="E11" s="4" t="s">
        <v>36</v>
      </c>
      <c r="F11" s="4" t="str">
        <f t="shared" ca="1" si="2"/>
        <v>Concluído</v>
      </c>
      <c r="G11" s="6" cm="1">
        <f t="array" ref="G11">SUMPRODUCT(
    (Atividades!$E$2:$E$598=Metas!E11) * (Atividades!$O$2:$O$598=Metas!L11),
    Atividades!$I$2:$I$598,
    Atividades!$J$2:$J$598
) / SUMPRODUCT(
    (Atividades!$E$2:$E$598=Metas!E11) * (Atividades!$O$2:$O$598=Metas!L11),
    Atividades!$J$2:$J$598
)</f>
        <v>1</v>
      </c>
      <c r="H11" s="21">
        <v>45659</v>
      </c>
      <c r="I11" s="21">
        <v>46021</v>
      </c>
      <c r="J11" s="5">
        <f t="shared" si="0"/>
        <v>362</v>
      </c>
      <c r="K11" s="5">
        <f>IFERROR(INDEX(Tabela3[ID_Responsavel], MATCH(L11,Tabela3[[Responsáveis ]], 0)), "Não encontrado")</f>
        <v>3</v>
      </c>
      <c r="L11" s="5" t="s">
        <v>30</v>
      </c>
      <c r="M11" s="5" t="s">
        <v>31</v>
      </c>
      <c r="N11" s="163"/>
      <c r="O11" s="161"/>
    </row>
    <row r="12" spans="1:17">
      <c r="A12" s="4">
        <f>IFERROR(INDEX(Tabela2[ID_Area], MATCH(B12,Tabela2[Area], 0)), "Não encontrado")</f>
        <v>1004</v>
      </c>
      <c r="B12" s="4" t="s">
        <v>15</v>
      </c>
      <c r="C12" s="4" t="s">
        <v>16</v>
      </c>
      <c r="D12" s="4">
        <f t="shared" si="1"/>
        <v>110</v>
      </c>
      <c r="E12" s="4" t="s">
        <v>37</v>
      </c>
      <c r="F12" s="4" t="str">
        <f ca="1">IF(G12=1,"Concluído",
   IF(TODAY()&gt;I12,"Atrasado",
      IF(AND(G12=0,TODAY()&lt;I12),"Não iniciado",
         "Em Andamento")))</f>
        <v>Concluído</v>
      </c>
      <c r="G12" s="6" cm="1">
        <f t="array" ref="G12">SUMPRODUCT(
    (Atividades!$E$2:$E$598=Metas!E12) * (Atividades!$O$2:$O$598=Metas!L12),
    Atividades!$I$2:$I$598,
    Atividades!$J$2:$J$598
) / SUMPRODUCT(
    (Atividades!$E$2:$E$598=Metas!E12) * (Atividades!$O$2:$O$598=Metas!L12),
    Atividades!$J$2:$J$598
)</f>
        <v>1</v>
      </c>
      <c r="H12" s="8">
        <v>45658</v>
      </c>
      <c r="I12" s="8">
        <v>46022</v>
      </c>
      <c r="J12" s="5">
        <f t="shared" si="0"/>
        <v>364</v>
      </c>
      <c r="K12" s="5">
        <f>IFERROR(INDEX(Tabela3[ID_Responsavel], MATCH(L12,Tabela3[[Responsáveis ]], 0)), "Não encontrado")</f>
        <v>20</v>
      </c>
      <c r="L12" s="5" t="s">
        <v>38</v>
      </c>
      <c r="M12" s="5" t="s">
        <v>19</v>
      </c>
      <c r="N12" s="163"/>
      <c r="O12" s="161" t="s">
        <v>22</v>
      </c>
    </row>
    <row r="13" spans="1:17">
      <c r="A13" s="4">
        <f>IFERROR(INDEX(Tabela2[ID_Area], MATCH(B13,Tabela2[Area], 0)), "Não encontrado")</f>
        <v>1004</v>
      </c>
      <c r="B13" s="4" t="s">
        <v>15</v>
      </c>
      <c r="C13" s="4" t="s">
        <v>39</v>
      </c>
      <c r="D13" s="4">
        <f t="shared" si="1"/>
        <v>111</v>
      </c>
      <c r="E13" s="4" t="s">
        <v>40</v>
      </c>
      <c r="F13" s="4" t="str">
        <f t="shared" ca="1" si="2"/>
        <v>Atrasado</v>
      </c>
      <c r="G13" s="6" cm="1">
        <f t="array" ref="G13">SUMPRODUCT(
    (Atividades!$E$2:$E$598=Metas!E13) * (Atividades!$O$2:$O$598=Metas!L13),
    Atividades!$I$2:$I$598,
    Atividades!$J$2:$J$598
) / SUMPRODUCT(
    (Atividades!$E$2:$E$598=Metas!E13) * (Atividades!$O$2:$O$598=Metas!L13),
    Atividades!$J$2:$J$598
)</f>
        <v>0.31050420168067228</v>
      </c>
      <c r="H13" s="7">
        <v>45663</v>
      </c>
      <c r="I13" s="7">
        <v>45991</v>
      </c>
      <c r="J13" s="5">
        <f t="shared" si="0"/>
        <v>328</v>
      </c>
      <c r="K13" s="5">
        <f>IFERROR(INDEX(Tabela3[ID_Responsavel], MATCH(L13,Tabela3[[Responsáveis ]], 0)), "Não encontrado")</f>
        <v>20</v>
      </c>
      <c r="L13" s="5" t="s">
        <v>38</v>
      </c>
      <c r="M13" s="5" t="s">
        <v>19</v>
      </c>
      <c r="N13" s="163"/>
      <c r="O13" s="161" t="s">
        <v>21</v>
      </c>
    </row>
    <row r="14" spans="1:17">
      <c r="A14" s="4">
        <f>IFERROR(INDEX(Tabela2[ID_Area], MATCH(B14,Tabela2[Area], 0)), "Não encontrado")</f>
        <v>1004</v>
      </c>
      <c r="B14" s="4" t="s">
        <v>15</v>
      </c>
      <c r="C14" s="4" t="s">
        <v>41</v>
      </c>
      <c r="D14" s="4">
        <f t="shared" si="1"/>
        <v>112</v>
      </c>
      <c r="E14" s="4" t="s">
        <v>42</v>
      </c>
      <c r="F14" s="4" t="str">
        <f t="shared" ca="1" si="2"/>
        <v>Concluído</v>
      </c>
      <c r="G14" s="6" cm="1">
        <f t="array" ref="G14">SUMPRODUCT(
    (Atividades!$E$2:$E$598=Metas!E14) * (Atividades!$O$2:$O$598=Metas!L14),
    Atividades!$I$2:$I$598,
    Atividades!$J$2:$J$598
) / SUMPRODUCT(
    (Atividades!$E$2:$E$598=Metas!E14) * (Atividades!$O$2:$O$598=Metas!L14),
    Atividades!$J$2:$J$598
)</f>
        <v>1</v>
      </c>
      <c r="H14" s="7">
        <v>45663</v>
      </c>
      <c r="I14" s="7">
        <v>45960</v>
      </c>
      <c r="J14" s="5">
        <f t="shared" si="0"/>
        <v>297</v>
      </c>
      <c r="K14" s="5">
        <f>IFERROR(INDEX(Tabela3[ID_Responsavel], MATCH(L14,Tabela3[[Responsáveis ]], 0)), "Não encontrado")</f>
        <v>20</v>
      </c>
      <c r="L14" s="5" t="s">
        <v>38</v>
      </c>
      <c r="M14" s="5" t="s">
        <v>19</v>
      </c>
      <c r="N14" s="163"/>
      <c r="O14" s="161" t="s">
        <v>22</v>
      </c>
    </row>
    <row r="15" spans="1:17">
      <c r="A15" s="4">
        <f>IFERROR(INDEX(Tabela2[ID_Area], MATCH(B15,Tabela2[Area], 0)), "Não encontrado")</f>
        <v>1004</v>
      </c>
      <c r="B15" s="4" t="s">
        <v>15</v>
      </c>
      <c r="C15" s="4" t="s">
        <v>24</v>
      </c>
      <c r="D15" s="4">
        <f t="shared" si="1"/>
        <v>113</v>
      </c>
      <c r="E15" s="4" t="s">
        <v>43</v>
      </c>
      <c r="F15" s="4" t="str">
        <f t="shared" ca="1" si="2"/>
        <v>Concluído</v>
      </c>
      <c r="G15" s="6" cm="1">
        <f t="array" ref="G15">SUMPRODUCT(
    (Atividades!$E$2:$E$598=Metas!E15) * (Atividades!$O$2:$O$598=Metas!L15),
    Atividades!$I$2:$I$598,
    Atividades!$J$2:$J$598
) / SUMPRODUCT(
    (Atividades!$E$2:$E$598=Metas!E15) * (Atividades!$O$2:$O$598=Metas!L15),
    Atividades!$J$2:$J$598
)</f>
        <v>1</v>
      </c>
      <c r="H15" s="7">
        <v>45717</v>
      </c>
      <c r="I15" s="7">
        <v>45960</v>
      </c>
      <c r="J15" s="5">
        <f t="shared" si="0"/>
        <v>243</v>
      </c>
      <c r="K15" s="5">
        <f>IFERROR(INDEX(Tabela3[ID_Responsavel], MATCH(L15,Tabela3[[Responsáveis ]], 0)), "Não encontrado")</f>
        <v>20</v>
      </c>
      <c r="L15" s="5" t="s">
        <v>38</v>
      </c>
      <c r="M15" s="5" t="s">
        <v>19</v>
      </c>
      <c r="N15" s="163"/>
      <c r="O15" s="161" t="s">
        <v>22</v>
      </c>
    </row>
    <row r="16" spans="1:17">
      <c r="A16" s="4">
        <f>IFERROR(INDEX(Tabela2[ID_Area], MATCH(B16,Tabela2[Area], 0)), "Não encontrado")</f>
        <v>1004</v>
      </c>
      <c r="B16" s="4" t="s">
        <v>15</v>
      </c>
      <c r="C16" s="4" t="s">
        <v>16</v>
      </c>
      <c r="D16" s="4">
        <f t="shared" si="1"/>
        <v>114</v>
      </c>
      <c r="E16" s="4" t="s">
        <v>44</v>
      </c>
      <c r="F16" s="4" t="str">
        <f t="shared" ca="1" si="2"/>
        <v>Atrasado</v>
      </c>
      <c r="G16" s="6" cm="1">
        <f t="array" ref="G16">SUMPRODUCT(
    (Atividades!$E$2:$E$598=Metas!E16) * (Atividades!$O$2:$O$598=Metas!L16),
    Atividades!$I$2:$I$598,
    Atividades!$J$2:$J$598
) / SUMPRODUCT(
    (Atividades!$E$2:$E$598=Metas!E16) * (Atividades!$O$2:$O$598=Metas!L16),
    Atividades!$J$2:$J$598
)</f>
        <v>0.96842827728208647</v>
      </c>
      <c r="H16" s="7">
        <v>45658</v>
      </c>
      <c r="I16" s="7">
        <v>46008</v>
      </c>
      <c r="J16" s="5">
        <f t="shared" si="0"/>
        <v>350</v>
      </c>
      <c r="K16" s="5">
        <f>IFERROR(INDEX(Tabela3[ID_Responsavel], MATCH(L16,Tabela3[[Responsáveis ]], 0)), "Não encontrado")</f>
        <v>20</v>
      </c>
      <c r="L16" s="5" t="s">
        <v>38</v>
      </c>
      <c r="M16" s="5" t="s">
        <v>19</v>
      </c>
      <c r="N16" s="163"/>
      <c r="O16" s="161" t="s">
        <v>22</v>
      </c>
    </row>
    <row r="17" spans="1:15">
      <c r="A17" s="4">
        <f>IFERROR(INDEX(Tabela2[ID_Area], MATCH(B17,Tabela2[Area], 0)), "Não encontrado")</f>
        <v>1004</v>
      </c>
      <c r="B17" s="4" t="s">
        <v>15</v>
      </c>
      <c r="C17" s="4" t="s">
        <v>33</v>
      </c>
      <c r="D17" s="4">
        <f t="shared" si="1"/>
        <v>115</v>
      </c>
      <c r="E17" s="4" t="s">
        <v>45</v>
      </c>
      <c r="F17" s="4" t="str">
        <f t="shared" ca="1" si="2"/>
        <v>Concluído</v>
      </c>
      <c r="G17" s="6" cm="1">
        <f t="array" ref="G17">SUMPRODUCT(
    (Atividades!$E$2:$E$598=Metas!E17) * (Atividades!$O$2:$O$598=Metas!L17),
    Atividades!$I$2:$I$598,
    Atividades!$J$2:$J$598
) / SUMPRODUCT(
    (Atividades!$E$2:$E$598=Metas!E17) * (Atividades!$O$2:$O$598=Metas!L17),
    Atividades!$J$2:$J$598
)</f>
        <v>1</v>
      </c>
      <c r="H17" s="7">
        <v>45748</v>
      </c>
      <c r="I17" s="7">
        <v>45991</v>
      </c>
      <c r="J17" s="5">
        <f t="shared" si="0"/>
        <v>243</v>
      </c>
      <c r="K17" s="5">
        <f>IFERROR(INDEX(Tabela3[ID_Responsavel], MATCH(L17,Tabela3[[Responsáveis ]], 0)), "Não encontrado")</f>
        <v>20</v>
      </c>
      <c r="L17" s="5" t="s">
        <v>38</v>
      </c>
      <c r="M17" s="5" t="s">
        <v>19</v>
      </c>
      <c r="N17" s="163"/>
      <c r="O17" s="161" t="s">
        <v>22</v>
      </c>
    </row>
    <row r="18" spans="1:15">
      <c r="A18" s="4">
        <f>IFERROR(INDEX(Tabela2[ID_Area], MATCH(B18,Tabela2[Area], 0)), "Não encontrado")</f>
        <v>1004</v>
      </c>
      <c r="B18" s="4" t="s">
        <v>15</v>
      </c>
      <c r="C18" s="4" t="s">
        <v>24</v>
      </c>
      <c r="D18" s="4">
        <f t="shared" si="1"/>
        <v>116</v>
      </c>
      <c r="E18" s="4" t="s">
        <v>46</v>
      </c>
      <c r="F18" s="4" t="str">
        <f t="shared" ca="1" si="2"/>
        <v>Atrasado</v>
      </c>
      <c r="G18" s="6" cm="1">
        <f t="array" ref="G18">SUMPRODUCT(
    (Atividades!$E$2:$E$598=Metas!E18) * (Atividades!$O$2:$O$598=Metas!L18),
    Atividades!$I$2:$I$598,
    Atividades!$J$2:$J$598
) / SUMPRODUCT(
    (Atividades!$E$2:$E$598=Metas!E18) * (Atividades!$O$2:$O$598=Metas!L18),
    Atividades!$J$2:$J$598
)</f>
        <v>0.1744186046511628</v>
      </c>
      <c r="H18" s="7">
        <v>45931</v>
      </c>
      <c r="I18" s="7">
        <v>46013</v>
      </c>
      <c r="J18" s="5">
        <f t="shared" si="0"/>
        <v>82</v>
      </c>
      <c r="K18" s="5">
        <f>IFERROR(INDEX(Tabela3[ID_Responsavel], MATCH(L18,Tabela3[[Responsáveis ]], 0)), "Não encontrado")</f>
        <v>24</v>
      </c>
      <c r="L18" s="5" t="s">
        <v>47</v>
      </c>
      <c r="M18" s="5" t="s">
        <v>48</v>
      </c>
      <c r="N18" s="163" t="s">
        <v>49</v>
      </c>
      <c r="O18" s="161" t="s">
        <v>21</v>
      </c>
    </row>
    <row r="19" spans="1:15">
      <c r="A19" s="4">
        <f>IFERROR(INDEX(Tabela2[ID_Area], MATCH(B19,Tabela2[Area], 0)), "Não encontrado")</f>
        <v>1004</v>
      </c>
      <c r="B19" s="4" t="s">
        <v>15</v>
      </c>
      <c r="C19" s="4" t="s">
        <v>24</v>
      </c>
      <c r="D19" s="4">
        <f t="shared" si="1"/>
        <v>117</v>
      </c>
      <c r="E19" s="4" t="s">
        <v>50</v>
      </c>
      <c r="F19" s="4" t="str">
        <f t="shared" ca="1" si="2"/>
        <v>Concluído</v>
      </c>
      <c r="G19" s="6" cm="1">
        <f t="array" ref="G19">SUMPRODUCT(
    (Atividades!$E$2:$E$598=Metas!E19) * (Atividades!$O$2:$O$598=Metas!L19),
    Atividades!$I$2:$I$598,
    Atividades!$J$2:$J$598
) / SUMPRODUCT(
    (Atividades!$E$2:$E$598=Metas!E19) * (Atividades!$O$2:$O$598=Metas!L19),
    Atividades!$J$2:$J$598
)</f>
        <v>1</v>
      </c>
      <c r="H19" s="7">
        <v>45748</v>
      </c>
      <c r="I19" s="7">
        <v>46013</v>
      </c>
      <c r="J19" s="5">
        <f t="shared" si="0"/>
        <v>265</v>
      </c>
      <c r="K19" s="5">
        <f>IFERROR(INDEX(Tabela3[ID_Responsavel], MATCH(L19,Tabela3[[Responsáveis ]], 0)), "Não encontrado")</f>
        <v>24</v>
      </c>
      <c r="L19" s="5" t="s">
        <v>47</v>
      </c>
      <c r="M19" s="5" t="s">
        <v>48</v>
      </c>
      <c r="N19" s="163"/>
      <c r="O19" s="161" t="s">
        <v>22</v>
      </c>
    </row>
    <row r="20" spans="1:15">
      <c r="A20" s="4">
        <f>IFERROR(INDEX(Tabela2[ID_Area], MATCH(B20,Tabela2[Area], 0)), "Não encontrado")</f>
        <v>1004</v>
      </c>
      <c r="B20" s="4" t="s">
        <v>15</v>
      </c>
      <c r="C20" s="4" t="s">
        <v>33</v>
      </c>
      <c r="D20" s="4">
        <f t="shared" si="1"/>
        <v>118</v>
      </c>
      <c r="E20" s="4" t="s">
        <v>51</v>
      </c>
      <c r="F20" s="4" t="str">
        <f t="shared" ca="1" si="2"/>
        <v>Concluído</v>
      </c>
      <c r="G20" s="6" cm="1">
        <f t="array" ref="G20">SUMPRODUCT(
    (Atividades!$E$2:$E$598=Metas!E20) * (Atividades!$O$2:$O$598=Metas!L20),
    Atividades!$I$2:$I$598,
    Atividades!$J$2:$J$598
) / SUMPRODUCT(
    (Atividades!$E$2:$E$598=Metas!E20) * (Atividades!$O$2:$O$598=Metas!L20),
    Atividades!$J$2:$J$598
)</f>
        <v>1</v>
      </c>
      <c r="H20" s="7">
        <v>45748</v>
      </c>
      <c r="I20" s="7">
        <v>45991</v>
      </c>
      <c r="J20" s="5">
        <f t="shared" si="0"/>
        <v>243</v>
      </c>
      <c r="K20" s="5">
        <f>IFERROR(INDEX(Tabela3[ID_Responsavel], MATCH(L20,Tabela3[[Responsáveis ]], 0)), "Não encontrado")</f>
        <v>24</v>
      </c>
      <c r="L20" s="5" t="s">
        <v>47</v>
      </c>
      <c r="M20" s="5" t="s">
        <v>48</v>
      </c>
      <c r="N20" s="163"/>
      <c r="O20" s="161" t="s">
        <v>22</v>
      </c>
    </row>
    <row r="21" spans="1:15">
      <c r="A21" s="4">
        <f>IFERROR(INDEX(Tabela2[ID_Area], MATCH(B21,Tabela2[Area], 0)), "Não encontrado")</f>
        <v>1004</v>
      </c>
      <c r="B21" s="4" t="s">
        <v>15</v>
      </c>
      <c r="C21" s="4" t="s">
        <v>16</v>
      </c>
      <c r="D21" s="4">
        <f t="shared" si="1"/>
        <v>119</v>
      </c>
      <c r="E21" s="4" t="s">
        <v>52</v>
      </c>
      <c r="F21" s="4" t="str">
        <f t="shared" ca="1" si="2"/>
        <v>Concluído</v>
      </c>
      <c r="G21" s="6" cm="1">
        <f t="array" ref="G21">SUMPRODUCT(
    (Atividades!$E$2:$E$598=Metas!E21) * (Atividades!$O$2:$O$598=Metas!L21),
    Atividades!$I$2:$I$598,
    Atividades!$J$2:$J$598
) / SUMPRODUCT(
    (Atividades!$E$2:$E$598=Metas!E21) * (Atividades!$O$2:$O$598=Metas!L21),
    Atividades!$J$2:$J$598
)</f>
        <v>1</v>
      </c>
      <c r="H21" s="7">
        <v>45670</v>
      </c>
      <c r="I21" s="7">
        <v>45716</v>
      </c>
      <c r="J21" s="5">
        <f t="shared" si="0"/>
        <v>46</v>
      </c>
      <c r="K21" s="5">
        <f>IFERROR(INDEX(Tabela3[ID_Responsavel], MATCH(L21,Tabela3[[Responsáveis ]], 0)), "Não encontrado")</f>
        <v>24</v>
      </c>
      <c r="L21" s="5" t="s">
        <v>47</v>
      </c>
      <c r="M21" s="5" t="s">
        <v>48</v>
      </c>
      <c r="N21" s="163"/>
      <c r="O21" s="161"/>
    </row>
    <row r="22" spans="1:15">
      <c r="A22" s="4">
        <f>IFERROR(INDEX(Tabela2[ID_Area], MATCH(B22,Tabela2[Area], 0)), "Não encontrado")</f>
        <v>1004</v>
      </c>
      <c r="B22" s="4" t="s">
        <v>15</v>
      </c>
      <c r="C22" s="4" t="s">
        <v>24</v>
      </c>
      <c r="D22" s="4">
        <f t="shared" si="1"/>
        <v>120</v>
      </c>
      <c r="E22" s="4" t="s">
        <v>53</v>
      </c>
      <c r="F22" s="4" t="str">
        <f t="shared" ca="1" si="2"/>
        <v>Atrasado</v>
      </c>
      <c r="G22" s="6" cm="1">
        <f t="array" ref="G22">SUMPRODUCT(
    (Atividades!$E$2:$E$598=Metas!E22) * (Atividades!$O$2:$O$598=Metas!L22),
    Atividades!$I$2:$I$598,
    Atividades!$J$2:$J$598
) / SUMPRODUCT(
    (Atividades!$E$2:$E$598=Metas!E22) * (Atividades!$O$2:$O$598=Metas!L22),
    Atividades!$J$2:$J$598
)</f>
        <v>0.52500000000000002</v>
      </c>
      <c r="H22" s="7">
        <v>45748</v>
      </c>
      <c r="I22" s="7">
        <v>45961</v>
      </c>
      <c r="J22" s="5">
        <f t="shared" si="0"/>
        <v>213</v>
      </c>
      <c r="K22" s="5">
        <f>IFERROR(INDEX(Tabela3[ID_Responsavel], MATCH(L22,Tabela3[[Responsáveis ]], 0)), "Não encontrado")</f>
        <v>24</v>
      </c>
      <c r="L22" s="5" t="s">
        <v>47</v>
      </c>
      <c r="M22" s="5" t="s">
        <v>48</v>
      </c>
      <c r="N22" s="163" t="s">
        <v>49</v>
      </c>
      <c r="O22" s="161" t="s">
        <v>21</v>
      </c>
    </row>
    <row r="23" spans="1:15" hidden="1">
      <c r="A23" s="4">
        <f>IFERROR(INDEX(Tabela2[ID_Area], MATCH(B23,Tabela2[Area], 0)), "Não encontrado")</f>
        <v>1000</v>
      </c>
      <c r="B23" s="4" t="s">
        <v>54</v>
      </c>
      <c r="C23" s="4" t="s">
        <v>55</v>
      </c>
      <c r="D23" s="4">
        <f t="shared" si="1"/>
        <v>121</v>
      </c>
      <c r="E23" s="4" t="s">
        <v>56</v>
      </c>
      <c r="F23" s="4" t="str">
        <f t="shared" ca="1" si="2"/>
        <v>Concluído</v>
      </c>
      <c r="G23" s="6" cm="1">
        <f t="array" ref="G23">SUMPRODUCT(
    (Atividades!$E$2:$E$598=Metas!E23) * (Atividades!$O$2:$O$598=Metas!L23),
    Atividades!$I$2:$I$598,
    Atividades!$J$2:$J$598
) / SUMPRODUCT(
    (Atividades!$E$2:$E$598=Metas!E23) * (Atividades!$O$2:$O$598=Metas!L23),
    Atividades!$J$2:$J$598
)</f>
        <v>1</v>
      </c>
      <c r="H23" s="7">
        <f>Atividades!K38</f>
        <v>45658</v>
      </c>
      <c r="I23" s="7">
        <v>46376</v>
      </c>
      <c r="J23" s="5">
        <f t="shared" si="0"/>
        <v>718</v>
      </c>
      <c r="K23" s="5">
        <f>IFERROR(INDEX(Tabela3[ID_Responsavel], MATCH(L23,Tabela3[[Responsáveis ]], 0)), "Não encontrado")</f>
        <v>7</v>
      </c>
      <c r="L23" s="5" t="s">
        <v>57</v>
      </c>
      <c r="M23" s="5" t="s">
        <v>19</v>
      </c>
      <c r="N23" s="163"/>
      <c r="O23" s="161"/>
    </row>
    <row r="24" spans="1:15" hidden="1">
      <c r="A24" s="4">
        <f>IFERROR(INDEX(Tabela2[ID_Area], MATCH(B24,Tabela2[Area], 0)), "Não encontrado")</f>
        <v>1000</v>
      </c>
      <c r="B24" s="4" t="s">
        <v>54</v>
      </c>
      <c r="C24" s="4" t="s">
        <v>55</v>
      </c>
      <c r="D24" s="4">
        <f t="shared" si="1"/>
        <v>122</v>
      </c>
      <c r="E24" s="4" t="s">
        <v>58</v>
      </c>
      <c r="F24" s="4" t="str">
        <f t="shared" ca="1" si="2"/>
        <v>Concluído</v>
      </c>
      <c r="G24" s="6" cm="1">
        <f t="array" ref="G24">SUMPRODUCT(
    (Atividades!$E$2:$E$598=Metas!E24) * (Atividades!$O$2:$O$598=Metas!L24),
    Atividades!$I$2:$I$598,
    Atividades!$J$2:$J$598
) / SUMPRODUCT(
    (Atividades!$E$2:$E$598=Metas!E24) * (Atividades!$O$2:$O$598=Metas!L24),
    Atividades!$J$2:$J$598
)</f>
        <v>1</v>
      </c>
      <c r="H24" s="7">
        <f>Atividades!K45</f>
        <v>45658</v>
      </c>
      <c r="I24" s="7">
        <v>46091</v>
      </c>
      <c r="J24" s="5">
        <f t="shared" si="0"/>
        <v>433</v>
      </c>
      <c r="K24" s="5">
        <f>IFERROR(INDEX(Tabela3[ID_Responsavel], MATCH(L24,Tabela3[[Responsáveis ]], 0)), "Não encontrado")</f>
        <v>7</v>
      </c>
      <c r="L24" s="5" t="s">
        <v>57</v>
      </c>
      <c r="M24" s="5" t="s">
        <v>19</v>
      </c>
      <c r="N24" s="163"/>
      <c r="O24" s="161"/>
    </row>
    <row r="25" spans="1:15" hidden="1">
      <c r="A25" s="4">
        <f>IFERROR(INDEX(Tabela2[ID_Area], MATCH(B25,Tabela2[Area], 0)), "Não encontrado")</f>
        <v>1000</v>
      </c>
      <c r="B25" s="4" t="s">
        <v>54</v>
      </c>
      <c r="C25" s="4" t="s">
        <v>33</v>
      </c>
      <c r="D25" s="4">
        <f t="shared" si="1"/>
        <v>123</v>
      </c>
      <c r="E25" s="4" t="s">
        <v>59</v>
      </c>
      <c r="F25" s="4" t="str">
        <f t="shared" ca="1" si="2"/>
        <v>Concluído</v>
      </c>
      <c r="G25" s="6" cm="1">
        <f t="array" ref="G25">SUMPRODUCT(
    (Atividades!$E$2:$E$598=Metas!E25) * (Atividades!$O$2:$O$598=Metas!L25),
    Atividades!$I$2:$I$598,
    Atividades!$J$2:$J$598
) / SUMPRODUCT(
    (Atividades!$E$2:$E$598=Metas!E25) * (Atividades!$O$2:$O$598=Metas!L25),
    Atividades!$J$2:$J$598
)</f>
        <v>1</v>
      </c>
      <c r="H25" s="7">
        <v>45847</v>
      </c>
      <c r="I25" s="7">
        <v>45969</v>
      </c>
      <c r="J25" s="5">
        <f t="shared" si="0"/>
        <v>122</v>
      </c>
      <c r="K25" s="5">
        <f>IFERROR(INDEX(Tabela3[ID_Responsavel], MATCH(L25,Tabela3[[Responsáveis ]], 0)), "Não encontrado")</f>
        <v>7</v>
      </c>
      <c r="L25" s="5" t="s">
        <v>57</v>
      </c>
      <c r="M25" s="5" t="s">
        <v>31</v>
      </c>
      <c r="N25" s="163"/>
      <c r="O25" s="161"/>
    </row>
    <row r="26" spans="1:15" hidden="1">
      <c r="A26" s="4">
        <f>IFERROR(INDEX(Tabela2[ID_Area], MATCH(B26,Tabela2[Area], 0)), "Não encontrado")</f>
        <v>1000</v>
      </c>
      <c r="B26" s="4" t="s">
        <v>54</v>
      </c>
      <c r="C26" s="4" t="s">
        <v>24</v>
      </c>
      <c r="D26" s="4">
        <f t="shared" si="1"/>
        <v>124</v>
      </c>
      <c r="E26" s="4" t="s">
        <v>60</v>
      </c>
      <c r="F26" s="4" t="str">
        <f t="shared" ca="1" si="2"/>
        <v>Concluído</v>
      </c>
      <c r="G26" s="6" cm="1">
        <f t="array" ref="G26">SUMPRODUCT(
    (Atividades!$E$2:$E$598=Metas!E26) * (Atividades!$O$2:$O$598=Metas!L26),
    Atividades!$I$2:$I$598,
    Atividades!$J$2:$J$598
) / SUMPRODUCT(
    (Atividades!$E$2:$E$598=Metas!E26) * (Atividades!$O$2:$O$598=Metas!L26),
    Atividades!$J$2:$J$598
)</f>
        <v>1</v>
      </c>
      <c r="H26" s="7">
        <f>Atividades!K16</f>
        <v>45674</v>
      </c>
      <c r="I26" s="7">
        <v>45989</v>
      </c>
      <c r="J26" s="5">
        <f t="shared" si="0"/>
        <v>315</v>
      </c>
      <c r="K26" s="5">
        <f>IFERROR(INDEX(Tabela3[ID_Responsavel], MATCH(L26,Tabela3[[Responsáveis ]], 0)), "Não encontrado")</f>
        <v>7</v>
      </c>
      <c r="L26" s="5" t="s">
        <v>57</v>
      </c>
      <c r="M26" s="5" t="s">
        <v>31</v>
      </c>
      <c r="N26" s="163"/>
      <c r="O26" s="161"/>
    </row>
    <row r="27" spans="1:15" hidden="1">
      <c r="A27" s="4">
        <f>IFERROR(INDEX(Tabela2[ID_Area], MATCH(B27,Tabela2[Area], 0)), "Não encontrado")</f>
        <v>1000</v>
      </c>
      <c r="B27" s="4" t="s">
        <v>54</v>
      </c>
      <c r="C27" s="4" t="s">
        <v>33</v>
      </c>
      <c r="D27" s="4">
        <f t="shared" si="1"/>
        <v>125</v>
      </c>
      <c r="E27" s="4" t="s">
        <v>61</v>
      </c>
      <c r="F27" s="4" t="str">
        <f t="shared" ca="1" si="2"/>
        <v>Concluído</v>
      </c>
      <c r="G27" s="6" cm="1">
        <f t="array" ref="G27">SUMPRODUCT(
    (Atividades!$E$2:$E$598=Metas!E27) * (Atividades!$O$2:$O$598=Metas!L27),
    Atividades!$I$2:$I$598,
    Atividades!$J$2:$J$598
) / SUMPRODUCT(
    (Atividades!$E$2:$E$598=Metas!E27) * (Atividades!$O$2:$O$598=Metas!L27),
    Atividades!$J$2:$J$598
)</f>
        <v>1</v>
      </c>
      <c r="H27" s="7">
        <f>Atividades!K2</f>
        <v>45660</v>
      </c>
      <c r="I27" s="7">
        <v>45989</v>
      </c>
      <c r="J27" s="5">
        <f t="shared" si="0"/>
        <v>329</v>
      </c>
      <c r="K27" s="5">
        <f>IFERROR(INDEX(Tabela3[ID_Responsavel], MATCH(L27,Tabela3[[Responsáveis ]], 0)), "Não encontrado")</f>
        <v>7</v>
      </c>
      <c r="L27" s="5" t="s">
        <v>57</v>
      </c>
      <c r="M27" s="5" t="s">
        <v>31</v>
      </c>
      <c r="N27" s="163"/>
      <c r="O27" s="161"/>
    </row>
    <row r="28" spans="1:15" hidden="1">
      <c r="A28" s="4">
        <f>IFERROR(INDEX(Tabela2[ID_Area], MATCH(B28,Tabela2[Area], 0)), "Não encontrado")</f>
        <v>1000</v>
      </c>
      <c r="B28" s="4" t="s">
        <v>54</v>
      </c>
      <c r="C28" s="4" t="s">
        <v>62</v>
      </c>
      <c r="D28" s="4">
        <f t="shared" si="1"/>
        <v>126</v>
      </c>
      <c r="E28" s="4" t="s">
        <v>63</v>
      </c>
      <c r="F28" s="4" t="str">
        <f t="shared" ca="1" si="2"/>
        <v>Concluído</v>
      </c>
      <c r="G28" s="6" cm="1">
        <f t="array" ref="G28">SUMPRODUCT(
    (Atividades!$E$2:$E$598=Metas!E28) * (Atividades!$O$2:$O$598=Metas!L28),
    Atividades!$I$2:$I$598,
    Atividades!$J$2:$J$598
) / SUMPRODUCT(
    (Atividades!$E$2:$E$598=Metas!E28) * (Atividades!$O$2:$O$598=Metas!L28),
    Atividades!$J$2:$J$598
)</f>
        <v>1</v>
      </c>
      <c r="H28" s="7">
        <v>45663</v>
      </c>
      <c r="I28" s="7">
        <v>46010</v>
      </c>
      <c r="J28" s="5">
        <f t="shared" ref="J28:J55" si="3">I28-H28</f>
        <v>347</v>
      </c>
      <c r="K28" s="5">
        <f>IFERROR(INDEX(Tabela3[ID_Responsavel], MATCH(L28,Tabela3[[Responsáveis ]], 0)), "Não encontrado")</f>
        <v>7</v>
      </c>
      <c r="L28" s="5" t="s">
        <v>57</v>
      </c>
      <c r="M28" s="5" t="s">
        <v>31</v>
      </c>
      <c r="N28" s="163"/>
      <c r="O28" s="161"/>
    </row>
    <row r="29" spans="1:15" hidden="1">
      <c r="A29" s="4">
        <f>IFERROR(INDEX(Tabela2[ID_Area], MATCH(B29,Tabela2[Area], 0)), "Não encontrado")</f>
        <v>1000</v>
      </c>
      <c r="B29" s="4" t="s">
        <v>54</v>
      </c>
      <c r="C29" s="4" t="s">
        <v>62</v>
      </c>
      <c r="D29" s="4">
        <f t="shared" si="1"/>
        <v>127</v>
      </c>
      <c r="E29" s="4" t="s">
        <v>64</v>
      </c>
      <c r="F29" s="4" t="str">
        <f t="shared" ca="1" si="2"/>
        <v>Atrasado</v>
      </c>
      <c r="G29" s="6" cm="1">
        <f t="array" ref="G29">SUMPRODUCT(
    (Atividades!$E$2:$E$598=Metas!E29) * (Atividades!$O$2:$O$598=Metas!L29),
    Atividades!$I$2:$I$598,
    Atividades!$J$2:$J$598
) / SUMPRODUCT(
    (Atividades!$E$2:$E$598=Metas!E29) * (Atividades!$O$2:$O$598=Metas!L29),
    Atividades!$J$2:$J$598
)</f>
        <v>4.5072273324572925E-3</v>
      </c>
      <c r="H29" s="7">
        <v>45677</v>
      </c>
      <c r="I29" s="7">
        <v>46010</v>
      </c>
      <c r="J29" s="5">
        <f t="shared" si="3"/>
        <v>333</v>
      </c>
      <c r="K29" s="5">
        <f>IFERROR(INDEX(Tabela3[ID_Responsavel], MATCH(L29,Tabela3[[Responsáveis ]], 0)), "Não encontrado")</f>
        <v>7</v>
      </c>
      <c r="L29" s="5" t="s">
        <v>57</v>
      </c>
      <c r="M29" s="5" t="s">
        <v>31</v>
      </c>
      <c r="N29" s="163"/>
      <c r="O29" s="161"/>
    </row>
    <row r="30" spans="1:15" hidden="1">
      <c r="A30" s="4">
        <f>IFERROR(INDEX(Tabela2[ID_Area], MATCH(B30,Tabela2[Area], 0)), "Não encontrado")</f>
        <v>1000</v>
      </c>
      <c r="B30" s="4" t="s">
        <v>54</v>
      </c>
      <c r="C30" s="4" t="s">
        <v>62</v>
      </c>
      <c r="D30" s="4">
        <f t="shared" si="1"/>
        <v>128</v>
      </c>
      <c r="E30" s="4" t="s">
        <v>65</v>
      </c>
      <c r="F30" s="4" t="str">
        <f t="shared" ca="1" si="2"/>
        <v>Atrasado</v>
      </c>
      <c r="G30" s="6" cm="1">
        <f t="array" ref="G30">SUMPRODUCT(
    (Atividades!$E$2:$E$598=Metas!E30) * (Atividades!$O$2:$O$598=Metas!L30),
    Atividades!$I$2:$I$598,
    Atividades!$J$2:$J$598
) / SUMPRODUCT(
    (Atividades!$E$2:$E$598=Metas!E30) * (Atividades!$O$2:$O$598=Metas!L30),
    Atividades!$J$2:$J$598
)</f>
        <v>0.68946648426812585</v>
      </c>
      <c r="H30" s="7">
        <v>45677</v>
      </c>
      <c r="I30" s="7">
        <v>46010</v>
      </c>
      <c r="J30" s="5">
        <f t="shared" si="3"/>
        <v>333</v>
      </c>
      <c r="K30" s="5">
        <f>IFERROR(INDEX(Tabela3[ID_Responsavel], MATCH(L30,Tabela3[[Responsáveis ]], 0)), "Não encontrado")</f>
        <v>7</v>
      </c>
      <c r="L30" s="5" t="s">
        <v>57</v>
      </c>
      <c r="M30" s="5" t="s">
        <v>31</v>
      </c>
      <c r="N30" s="163"/>
      <c r="O30" s="161"/>
    </row>
    <row r="31" spans="1:15" hidden="1">
      <c r="A31" s="4">
        <f>IFERROR(INDEX(Tabela2[ID_Area], MATCH(B31,Tabela2[Area], 0)), "Não encontrado")</f>
        <v>1001</v>
      </c>
      <c r="B31" s="4" t="s">
        <v>66</v>
      </c>
      <c r="C31" s="4" t="s">
        <v>67</v>
      </c>
      <c r="D31" s="4">
        <f t="shared" si="1"/>
        <v>129</v>
      </c>
      <c r="E31" s="4" t="s">
        <v>68</v>
      </c>
      <c r="F31" s="4" t="str">
        <f t="shared" ca="1" si="2"/>
        <v>Atrasado</v>
      </c>
      <c r="G31" s="6" cm="1">
        <f t="array" ref="G31">SUMPRODUCT(
    (Atividades!$E$2:$E$598=Metas!E31) * (Atividades!$O$2:$O$598=Metas!L31),
    Atividades!$I$2:$I$598,
    Atividades!$J$2:$J$598
) / SUMPRODUCT(
    (Atividades!$E$2:$E$598=Metas!E31) * (Atividades!$O$2:$O$598=Metas!L31),
    Atividades!$J$2:$J$598
)</f>
        <v>0.93043478260869561</v>
      </c>
      <c r="H31" s="7">
        <v>45659</v>
      </c>
      <c r="I31" s="7">
        <v>46022</v>
      </c>
      <c r="J31" s="5">
        <f t="shared" si="3"/>
        <v>363</v>
      </c>
      <c r="K31" s="5">
        <f>IFERROR(INDEX(Tabela3[ID_Responsavel], MATCH(L31,Tabela3[[Responsáveis ]], 0)), "Não encontrado")</f>
        <v>1</v>
      </c>
      <c r="L31" s="5" t="s">
        <v>69</v>
      </c>
      <c r="M31" s="5" t="s">
        <v>19</v>
      </c>
      <c r="N31" s="163" t="s">
        <v>70</v>
      </c>
      <c r="O31" s="161" t="s">
        <v>21</v>
      </c>
    </row>
    <row r="32" spans="1:15" ht="21.75" hidden="1" customHeight="1">
      <c r="A32" s="4">
        <f>IFERROR(INDEX(Tabela2[ID_Area], MATCH(B32,Tabela2[Area], 0)), "Não encontrado")</f>
        <v>1001</v>
      </c>
      <c r="B32" s="4" t="s">
        <v>66</v>
      </c>
      <c r="C32" s="4" t="s">
        <v>71</v>
      </c>
      <c r="D32" s="4">
        <f t="shared" si="1"/>
        <v>130</v>
      </c>
      <c r="E32" s="4" t="s">
        <v>72</v>
      </c>
      <c r="F32" s="4" t="str">
        <f t="shared" ca="1" si="2"/>
        <v>Concluído</v>
      </c>
      <c r="G32" s="6" cm="1">
        <f t="array" ref="G32">SUMPRODUCT(
    (Atividades!$E$2:$E$598=Metas!E32) * (Atividades!$O$2:$O$598=Metas!L32),
    Atividades!$I$2:$I$598,
    Atividades!$J$2:$J$598
) / SUMPRODUCT(
    (Atividades!$E$2:$E$598=Metas!E32) * (Atividades!$O$2:$O$598=Metas!L32),
    Atividades!$J$2:$J$598
)</f>
        <v>1</v>
      </c>
      <c r="H32" s="7">
        <v>45659</v>
      </c>
      <c r="I32" s="7">
        <v>45960</v>
      </c>
      <c r="J32" s="5">
        <f t="shared" si="3"/>
        <v>301</v>
      </c>
      <c r="K32" s="5">
        <f>IFERROR(INDEX(Tabela3[ID_Responsavel], MATCH(L32,Tabela3[[Responsáveis ]], 0)), "Não encontrado")</f>
        <v>1</v>
      </c>
      <c r="L32" s="5" t="s">
        <v>69</v>
      </c>
      <c r="M32" s="5" t="s">
        <v>19</v>
      </c>
      <c r="N32" s="163"/>
      <c r="O32" s="161" t="s">
        <v>22</v>
      </c>
    </row>
    <row r="33" spans="1:15" hidden="1">
      <c r="A33" s="4">
        <f>IFERROR(INDEX(Tabela2[ID_Area], MATCH(B33,Tabela2[Area], 0)), "Não encontrado")</f>
        <v>1001</v>
      </c>
      <c r="B33" s="4" t="s">
        <v>66</v>
      </c>
      <c r="C33" s="4" t="s">
        <v>67</v>
      </c>
      <c r="D33" s="4">
        <f t="shared" si="1"/>
        <v>131</v>
      </c>
      <c r="E33" s="4" t="s">
        <v>73</v>
      </c>
      <c r="F33" s="4" t="str">
        <f t="shared" ca="1" si="2"/>
        <v>Atrasado</v>
      </c>
      <c r="G33" s="6" cm="1">
        <f t="array" ref="G33">SUMPRODUCT(
    (Atividades!$E$2:$E$598=Metas!E33) * (Atividades!$O$2:$O$598=Metas!L33),
    Atividades!$I$2:$I$598,
    Atividades!$J$2:$J$598
) / SUMPRODUCT(
    (Atividades!$E$2:$E$598=Metas!E33) * (Atividades!$O$2:$O$598=Metas!L33),
    Atividades!$J$2:$J$598
)</f>
        <v>0.82913907284768207</v>
      </c>
      <c r="H33" s="7">
        <v>45659</v>
      </c>
      <c r="I33" s="7">
        <v>46003</v>
      </c>
      <c r="J33" s="5">
        <f t="shared" si="3"/>
        <v>344</v>
      </c>
      <c r="K33" s="5">
        <f>IFERROR(INDEX(Tabela3[ID_Responsavel], MATCH(L33,Tabela3[[Responsáveis ]], 0)), "Não encontrado")</f>
        <v>1</v>
      </c>
      <c r="L33" s="5" t="s">
        <v>69</v>
      </c>
      <c r="M33" s="5" t="s">
        <v>19</v>
      </c>
      <c r="N33" s="163" t="s">
        <v>70</v>
      </c>
      <c r="O33" s="161" t="s">
        <v>21</v>
      </c>
    </row>
    <row r="34" spans="1:15" hidden="1">
      <c r="A34" s="4">
        <f>IFERROR(INDEX(Tabela2[ID_Area], MATCH(B34,Tabela2[Area], 0)), "Não encontrado")</f>
        <v>1001</v>
      </c>
      <c r="B34" s="4" t="s">
        <v>66</v>
      </c>
      <c r="C34" s="4" t="s">
        <v>24</v>
      </c>
      <c r="D34" s="4">
        <f t="shared" si="1"/>
        <v>132</v>
      </c>
      <c r="E34" s="4" t="s">
        <v>74</v>
      </c>
      <c r="F34" s="4" t="str">
        <f t="shared" ca="1" si="2"/>
        <v>Atrasado</v>
      </c>
      <c r="G34" s="6" cm="1">
        <f t="array" ref="G34">SUMPRODUCT(
    (Atividades!$E$2:$E$598=Metas!E34) * (Atividades!$O$2:$O$598=Metas!L34),
    Atividades!$I$2:$I$598,
    Atividades!$J$2:$J$598
) / SUMPRODUCT(
    (Atividades!$E$2:$E$598=Metas!E34) * (Atividades!$O$2:$O$598=Metas!L34),
    Atividades!$J$2:$J$598
)</f>
        <v>0.39322580645161298</v>
      </c>
      <c r="H34" s="7">
        <v>45674</v>
      </c>
      <c r="I34" s="7">
        <v>46022</v>
      </c>
      <c r="J34" s="5">
        <f t="shared" si="3"/>
        <v>348</v>
      </c>
      <c r="K34" s="5">
        <f>IFERROR(INDEX(Tabela3[ID_Responsavel], MATCH(L34,Tabela3[[Responsáveis ]], 0)), "Não encontrado")</f>
        <v>1</v>
      </c>
      <c r="L34" s="5" t="s">
        <v>69</v>
      </c>
      <c r="M34" s="5" t="s">
        <v>19</v>
      </c>
      <c r="N34" s="163" t="s">
        <v>75</v>
      </c>
      <c r="O34" s="161" t="s">
        <v>21</v>
      </c>
    </row>
    <row r="35" spans="1:15" hidden="1">
      <c r="A35" s="4">
        <f>IFERROR(INDEX(Tabela2[ID_Area], MATCH(B35,Tabela2[Area], 0)), "Não encontrado")</f>
        <v>1001</v>
      </c>
      <c r="B35" s="4" t="s">
        <v>66</v>
      </c>
      <c r="C35" s="4" t="s">
        <v>55</v>
      </c>
      <c r="D35" s="4">
        <f t="shared" si="1"/>
        <v>133</v>
      </c>
      <c r="E35" s="4" t="s">
        <v>76</v>
      </c>
      <c r="F35" s="4" t="str">
        <f t="shared" ca="1" si="2"/>
        <v>Atrasado</v>
      </c>
      <c r="G35" s="6" cm="1">
        <f t="array" ref="G35">SUMPRODUCT(
    (Atividades!$E$2:$E$598=Metas!E35) * (Atividades!$O$2:$O$598=Metas!L35),
    Atividades!$I$2:$I$598,
    Atividades!$J$2:$J$598
) / SUMPRODUCT(
    (Atividades!$E$2:$E$598=Metas!E35) * (Atividades!$O$2:$O$598=Metas!L35),
    Atividades!$J$2:$J$598
)</f>
        <v>0.15137614678899081</v>
      </c>
      <c r="H35" s="7">
        <v>45660</v>
      </c>
      <c r="I35" s="7">
        <v>45960</v>
      </c>
      <c r="J35" s="5">
        <f t="shared" si="3"/>
        <v>300</v>
      </c>
      <c r="K35" s="5">
        <f>IFERROR(INDEX(Tabela3[ID_Responsavel], MATCH(L35,Tabela3[[Responsáveis ]], 0)), "Não encontrado")</f>
        <v>13</v>
      </c>
      <c r="L35" s="5" t="s">
        <v>77</v>
      </c>
      <c r="M35" s="5" t="s">
        <v>31</v>
      </c>
      <c r="N35" s="163" t="s">
        <v>78</v>
      </c>
      <c r="O35" s="161" t="s">
        <v>21</v>
      </c>
    </row>
    <row r="36" spans="1:15" ht="108" hidden="1">
      <c r="A36" s="4">
        <f>IFERROR(INDEX(Tabela2[ID_Area], MATCH(B36,Tabela2[Area], 0)), "Não encontrado")</f>
        <v>1002</v>
      </c>
      <c r="B36" s="4" t="s">
        <v>79</v>
      </c>
      <c r="C36" s="4" t="s">
        <v>71</v>
      </c>
      <c r="D36" s="4">
        <f t="shared" si="1"/>
        <v>134</v>
      </c>
      <c r="E36" s="4" t="s">
        <v>80</v>
      </c>
      <c r="F36" s="4" t="str">
        <f t="shared" ca="1" si="2"/>
        <v>Concluído</v>
      </c>
      <c r="G36" s="6" cm="1">
        <f t="array" ref="G36">SUMPRODUCT(
    (Atividades!$E$2:$E$598=Metas!E36) * (Atividades!$O$2:$O$598=Metas!L36),
    Atividades!$I$2:$I$598,
    Atividades!$J$2:$J$598
) / SUMPRODUCT(
    (Atividades!$E$2:$E$598=Metas!E36) * (Atividades!$O$2:$O$598=Metas!L36),
    Atividades!$J$2:$J$598
)</f>
        <v>1</v>
      </c>
      <c r="H36" s="7">
        <v>45660</v>
      </c>
      <c r="I36" s="7">
        <v>46021</v>
      </c>
      <c r="J36" s="5">
        <f t="shared" si="3"/>
        <v>361</v>
      </c>
      <c r="K36" s="5">
        <f>IFERROR(INDEX(Tabela3[ID_Responsavel], MATCH(L36,Tabela3[[Responsáveis ]], 0)), "Não encontrado")</f>
        <v>13</v>
      </c>
      <c r="L36" s="5" t="s">
        <v>77</v>
      </c>
      <c r="M36" s="5" t="s">
        <v>31</v>
      </c>
      <c r="N36" s="166" t="s">
        <v>81</v>
      </c>
      <c r="O36" s="161" t="s">
        <v>22</v>
      </c>
    </row>
    <row r="37" spans="1:15" hidden="1">
      <c r="A37" s="4">
        <f>IFERROR(INDEX(Tabela2[ID_Area], MATCH(B37,Tabela2[Area], 0)), "Não encontrado")</f>
        <v>1001</v>
      </c>
      <c r="B37" s="4" t="s">
        <v>66</v>
      </c>
      <c r="C37" s="4" t="s">
        <v>67</v>
      </c>
      <c r="D37" s="4">
        <f t="shared" si="1"/>
        <v>135</v>
      </c>
      <c r="E37" s="4" t="s">
        <v>82</v>
      </c>
      <c r="F37" s="4" t="str">
        <f t="shared" ca="1" si="2"/>
        <v>Atrasado</v>
      </c>
      <c r="G37" s="6" cm="1">
        <f t="array" ref="G37">SUMPRODUCT(
    (Atividades!$E$2:$E$598=Metas!E37) * (Atividades!$O$2:$O$598=Metas!L37),
    Atividades!$I$2:$I$598,
    Atividades!$J$2:$J$598
) / SUMPRODUCT(
    (Atividades!$E$2:$E$598=Metas!E37) * (Atividades!$O$2:$O$598=Metas!L37),
    Atividades!$J$2:$J$598
)</f>
        <v>0.74642126789366059</v>
      </c>
      <c r="H37" s="7">
        <v>45672</v>
      </c>
      <c r="I37" s="7">
        <v>45961</v>
      </c>
      <c r="J37" s="5">
        <f t="shared" si="3"/>
        <v>289</v>
      </c>
      <c r="K37" s="5">
        <f>IFERROR(INDEX(Tabela3[ID_Responsavel], MATCH(L37,Tabela3[[Responsáveis ]], 0)), "Não encontrado")</f>
        <v>13</v>
      </c>
      <c r="L37" s="5" t="s">
        <v>77</v>
      </c>
      <c r="M37" s="5" t="s">
        <v>31</v>
      </c>
      <c r="N37" s="163" t="s">
        <v>83</v>
      </c>
      <c r="O37" s="161" t="s">
        <v>21</v>
      </c>
    </row>
    <row r="38" spans="1:15" hidden="1">
      <c r="A38" s="4">
        <f>IFERROR(INDEX(Tabela2[ID_Area], MATCH(B38,Tabela2[Area], 0)), "Não encontrado")</f>
        <v>1002</v>
      </c>
      <c r="B38" s="4" t="s">
        <v>79</v>
      </c>
      <c r="C38" s="4" t="s">
        <v>55</v>
      </c>
      <c r="D38" s="4">
        <f t="shared" si="1"/>
        <v>136</v>
      </c>
      <c r="E38" s="4" t="s">
        <v>84</v>
      </c>
      <c r="F38" s="4" t="str">
        <f t="shared" ca="1" si="2"/>
        <v>Atrasado</v>
      </c>
      <c r="G38" s="6" cm="1">
        <f t="array" ref="G38">SUMPRODUCT(
    (Atividades!$E$2:$E$598=Metas!E38) * (Atividades!$O$2:$O$598=Metas!L38),
    Atividades!$I$2:$I$598,
    Atividades!$J$2:$J$598
) / SUMPRODUCT(
    (Atividades!$E$2:$E$598=Metas!E38) * (Atividades!$O$2:$O$598=Metas!L38),
    Atividades!$J$2:$J$598
)</f>
        <v>0.97839506172839508</v>
      </c>
      <c r="H38" s="7">
        <v>45731</v>
      </c>
      <c r="I38" s="7">
        <v>46011</v>
      </c>
      <c r="J38" s="5">
        <f t="shared" si="3"/>
        <v>280</v>
      </c>
      <c r="K38" s="5">
        <f>IFERROR(INDEX(Tabela3[ID_Responsavel], MATCH(L38,Tabela3[[Responsáveis ]], 0)), "Não encontrado")</f>
        <v>13</v>
      </c>
      <c r="L38" s="5" t="s">
        <v>77</v>
      </c>
      <c r="M38" s="5" t="s">
        <v>31</v>
      </c>
      <c r="N38" s="163" t="s">
        <v>85</v>
      </c>
      <c r="O38" s="161" t="s">
        <v>21</v>
      </c>
    </row>
    <row r="39" spans="1:15" hidden="1">
      <c r="A39" s="4">
        <f>IFERROR(INDEX(Tabela2[ID_Area], MATCH(B39,Tabela2[Area], 0)), "Não encontrado")</f>
        <v>1001</v>
      </c>
      <c r="B39" s="4" t="s">
        <v>66</v>
      </c>
      <c r="C39" s="4" t="s">
        <v>86</v>
      </c>
      <c r="D39" s="4">
        <f t="shared" si="1"/>
        <v>137</v>
      </c>
      <c r="E39" s="4" t="s">
        <v>87</v>
      </c>
      <c r="F39" s="4" t="str">
        <f t="shared" ca="1" si="2"/>
        <v>Atrasado</v>
      </c>
      <c r="G39" s="6" cm="1">
        <f t="array" ref="G39">SUMPRODUCT(
    (Atividades!$E$2:$E$598=Metas!E39) * (Atividades!$O$2:$O$598=Metas!L39),
    Atividades!$I$2:$I$598,
    Atividades!$J$2:$J$598
) / SUMPRODUCT(
    (Atividades!$E$2:$E$598=Metas!E39) * (Atividades!$O$2:$O$598=Metas!L39),
    Atividades!$J$2:$J$598
)</f>
        <v>0.64950166112956809</v>
      </c>
      <c r="H39" s="7">
        <v>45659</v>
      </c>
      <c r="I39" s="7">
        <v>46022</v>
      </c>
      <c r="J39" s="5">
        <f t="shared" si="3"/>
        <v>363</v>
      </c>
      <c r="K39" s="5">
        <f>IFERROR(INDEX(Tabela3[ID_Responsavel], MATCH(L39,Tabela3[[Responsáveis ]], 0)), "Não encontrado")</f>
        <v>22</v>
      </c>
      <c r="L39" s="5" t="s">
        <v>88</v>
      </c>
      <c r="M39" s="5" t="s">
        <v>19</v>
      </c>
      <c r="N39" s="163" t="s">
        <v>70</v>
      </c>
      <c r="O39" s="161" t="s">
        <v>21</v>
      </c>
    </row>
    <row r="40" spans="1:15" hidden="1">
      <c r="A40" s="4">
        <f>IFERROR(INDEX(Tabela2[ID_Area], MATCH(B40,Tabela2[Area], 0)), "Não encontrado")</f>
        <v>1001</v>
      </c>
      <c r="B40" s="4" t="s">
        <v>66</v>
      </c>
      <c r="C40" s="4" t="s">
        <v>86</v>
      </c>
      <c r="D40" s="4">
        <f t="shared" si="1"/>
        <v>138</v>
      </c>
      <c r="E40" s="4" t="s">
        <v>89</v>
      </c>
      <c r="F40" s="4" t="str">
        <f t="shared" ca="1" si="2"/>
        <v>Concluído</v>
      </c>
      <c r="G40" s="6" cm="1">
        <f t="array" ref="G40">SUMPRODUCT(
    (Atividades!$E$2:$E$598=Metas!E40) * (Atividades!$O$2:$O$598=Metas!L40),
    Atividades!$I$2:$I$598,
    Atividades!$J$2:$J$598
) / SUMPRODUCT(
    (Atividades!$E$2:$E$598=Metas!E40) * (Atividades!$O$2:$O$598=Metas!L40),
    Atividades!$J$2:$J$598
)</f>
        <v>1</v>
      </c>
      <c r="H40" s="7">
        <v>45659</v>
      </c>
      <c r="I40" s="7">
        <v>46022</v>
      </c>
      <c r="J40" s="5">
        <f t="shared" si="3"/>
        <v>363</v>
      </c>
      <c r="K40" s="5">
        <f>IFERROR(INDEX(Tabela3[ID_Responsavel], MATCH(L40,Tabela3[[Responsáveis ]], 0)), "Não encontrado")</f>
        <v>22</v>
      </c>
      <c r="L40" s="5" t="s">
        <v>88</v>
      </c>
      <c r="M40" s="5" t="s">
        <v>19</v>
      </c>
      <c r="N40" s="163"/>
      <c r="O40" s="161" t="s">
        <v>22</v>
      </c>
    </row>
    <row r="41" spans="1:15" hidden="1">
      <c r="A41" s="4">
        <f>IFERROR(INDEX(Tabela2[ID_Area], MATCH(B41,Tabela2[Area], 0)), "Não encontrado")</f>
        <v>1001</v>
      </c>
      <c r="B41" s="4" t="s">
        <v>66</v>
      </c>
      <c r="C41" s="4" t="s">
        <v>55</v>
      </c>
      <c r="D41" s="4">
        <f t="shared" si="1"/>
        <v>139</v>
      </c>
      <c r="E41" s="4" t="s">
        <v>90</v>
      </c>
      <c r="F41" s="4" t="str">
        <f t="shared" ca="1" si="2"/>
        <v>Concluído</v>
      </c>
      <c r="G41" s="6" cm="1">
        <f t="array" ref="G41">SUMPRODUCT(
    (Atividades!$E$2:$E$598=Metas!E41) * (Atividades!$O$2:$O$598=Metas!L41),
    Atividades!$I$2:$I$598,
    Atividades!$J$2:$J$598
) / SUMPRODUCT(
    (Atividades!$E$2:$E$598=Metas!E41) * (Atividades!$O$2:$O$598=Metas!L41),
    Atividades!$J$2:$J$598
)</f>
        <v>1</v>
      </c>
      <c r="H41" s="7">
        <v>45659</v>
      </c>
      <c r="I41" s="7">
        <v>46021</v>
      </c>
      <c r="J41" s="5">
        <f t="shared" si="3"/>
        <v>362</v>
      </c>
      <c r="K41" s="5">
        <f>IFERROR(INDEX(Tabela3[ID_Responsavel], MATCH(L41,Tabela3[[Responsáveis ]], 0)), "Não encontrado")</f>
        <v>22</v>
      </c>
      <c r="L41" s="5" t="s">
        <v>88</v>
      </c>
      <c r="M41" s="5" t="s">
        <v>19</v>
      </c>
      <c r="N41" s="163"/>
      <c r="O41" s="161" t="s">
        <v>22</v>
      </c>
    </row>
    <row r="42" spans="1:15" hidden="1">
      <c r="A42" s="4">
        <f>IFERROR(INDEX(Tabela2[ID_Area], MATCH(B42,Tabela2[Area], 0)), "Não encontrado")</f>
        <v>1001</v>
      </c>
      <c r="B42" s="4" t="s">
        <v>66</v>
      </c>
      <c r="C42" s="4" t="s">
        <v>55</v>
      </c>
      <c r="D42" s="4">
        <f t="shared" si="1"/>
        <v>140</v>
      </c>
      <c r="E42" s="4" t="s">
        <v>91</v>
      </c>
      <c r="F42" s="4" t="str">
        <f t="shared" ca="1" si="2"/>
        <v>Concluído</v>
      </c>
      <c r="G42" s="6" cm="1">
        <f t="array" ref="G42">SUMPRODUCT(
    (Atividades!$E$2:$E$598=Metas!E42) * (Atividades!$O$2:$O$598=Metas!L42),
    Atividades!$I$2:$I$598,
    Atividades!$J$2:$J$598
) / SUMPRODUCT(
    (Atividades!$E$2:$E$598=Metas!E42) * (Atividades!$O$2:$O$598=Metas!L42),
    Atividades!$J$2:$J$598
)</f>
        <v>1</v>
      </c>
      <c r="H42" s="7">
        <v>45839</v>
      </c>
      <c r="I42" s="7">
        <v>46021</v>
      </c>
      <c r="J42" s="5">
        <f t="shared" si="3"/>
        <v>182</v>
      </c>
      <c r="K42" s="5">
        <f>IFERROR(INDEX(Tabela3[ID_Responsavel], MATCH(L42,Tabela3[[Responsáveis ]], 0)), "Não encontrado")</f>
        <v>22</v>
      </c>
      <c r="L42" s="5" t="s">
        <v>88</v>
      </c>
      <c r="M42" s="5" t="s">
        <v>19</v>
      </c>
      <c r="N42" s="163"/>
      <c r="O42" s="161" t="s">
        <v>22</v>
      </c>
    </row>
    <row r="43" spans="1:15" hidden="1">
      <c r="A43" s="4">
        <f>IFERROR(INDEX(Tabela2[ID_Area], MATCH(B43,Tabela2[Area], 0)), "Não encontrado")</f>
        <v>1003</v>
      </c>
      <c r="B43" s="4" t="s">
        <v>92</v>
      </c>
      <c r="C43" s="4" t="s">
        <v>24</v>
      </c>
      <c r="D43" s="4">
        <f t="shared" si="1"/>
        <v>141</v>
      </c>
      <c r="E43" s="4" t="s">
        <v>93</v>
      </c>
      <c r="F43" s="4" t="str">
        <f t="shared" ca="1" si="2"/>
        <v>Concluído</v>
      </c>
      <c r="G43" s="6" cm="1">
        <f t="array" ref="G43">SUMPRODUCT(
    (Atividades!$E$2:$E$598=Metas!E43) * (Atividades!$O$2:$O$598=Metas!L43),
    Atividades!$I$2:$I$598,
    Atividades!$J$2:$J$598
) / SUMPRODUCT(
    (Atividades!$E$2:$E$598=Metas!E43) * (Atividades!$O$2:$O$598=Metas!L43),
    Atividades!$J$2:$J$598
)</f>
        <v>1</v>
      </c>
      <c r="H43" s="7">
        <v>45659</v>
      </c>
      <c r="I43" s="7">
        <v>45994</v>
      </c>
      <c r="J43" s="5">
        <f t="shared" si="3"/>
        <v>335</v>
      </c>
      <c r="K43" s="5">
        <f>IFERROR(INDEX(Tabela3[ID_Responsavel], MATCH(L43,Tabela3[[Responsáveis ]], 0)), "Não encontrado")</f>
        <v>8</v>
      </c>
      <c r="L43" s="5" t="s">
        <v>94</v>
      </c>
      <c r="M43" s="5" t="s">
        <v>19</v>
      </c>
      <c r="N43" s="163"/>
      <c r="O43" s="161"/>
    </row>
    <row r="44" spans="1:15" hidden="1">
      <c r="A44" s="4">
        <f>IFERROR(INDEX(Tabela2[ID_Area], MATCH(B44,Tabela2[Area], 0)), "Não encontrado")</f>
        <v>1003</v>
      </c>
      <c r="B44" s="4" t="s">
        <v>92</v>
      </c>
      <c r="C44" s="4" t="s">
        <v>24</v>
      </c>
      <c r="D44" s="4">
        <f t="shared" si="1"/>
        <v>142</v>
      </c>
      <c r="E44" s="4" t="s">
        <v>95</v>
      </c>
      <c r="F44" s="4" t="str">
        <f t="shared" ca="1" si="2"/>
        <v>Concluído</v>
      </c>
      <c r="G44" s="6" cm="1">
        <f t="array" ref="G44">SUMPRODUCT(
    (Atividades!$E$2:$E$598=Metas!E44) * (Atividades!$O$2:$O$598=Metas!L44),
    Atividades!$I$2:$I$598,
    Atividades!$J$2:$J$598
) / SUMPRODUCT(
    (Atividades!$E$2:$E$598=Metas!E44) * (Atividades!$O$2:$O$598=Metas!L44),
    Atividades!$J$2:$J$598
)</f>
        <v>1</v>
      </c>
      <c r="H44" s="7">
        <v>45659</v>
      </c>
      <c r="I44" s="7">
        <v>46021</v>
      </c>
      <c r="J44" s="5">
        <f t="shared" si="3"/>
        <v>362</v>
      </c>
      <c r="K44" s="5">
        <f>IFERROR(INDEX(Tabela3[ID_Responsavel], MATCH(L44,Tabela3[[Responsáveis ]], 0)), "Não encontrado")</f>
        <v>8</v>
      </c>
      <c r="L44" s="5" t="s">
        <v>94</v>
      </c>
      <c r="M44" s="5" t="s">
        <v>19</v>
      </c>
      <c r="N44" s="163"/>
      <c r="O44" s="161"/>
    </row>
    <row r="45" spans="1:15" hidden="1">
      <c r="A45" s="4">
        <f>IFERROR(INDEX(Tabela2[ID_Area], MATCH(B45,Tabela2[Area], 0)), "Não encontrado")</f>
        <v>1003</v>
      </c>
      <c r="B45" s="4" t="s">
        <v>92</v>
      </c>
      <c r="C45" s="4" t="s">
        <v>24</v>
      </c>
      <c r="D45" s="4">
        <f t="shared" si="1"/>
        <v>143</v>
      </c>
      <c r="E45" s="4" t="s">
        <v>96</v>
      </c>
      <c r="F45" s="4" t="str">
        <f t="shared" ca="1" si="2"/>
        <v>Concluído</v>
      </c>
      <c r="G45" s="6" cm="1">
        <f t="array" ref="G45">SUMPRODUCT(
    (Atividades!$E$2:$E$598=Metas!E45) * (Atividades!$O$2:$O$598=Metas!L45),
    Atividades!$I$2:$I$598,
    Atividades!$J$2:$J$598
) / SUMPRODUCT(
    (Atividades!$E$2:$E$598=Metas!E45) * (Atividades!$O$2:$O$598=Metas!L45),
    Atividades!$J$2:$J$598
)</f>
        <v>1</v>
      </c>
      <c r="H45" s="7">
        <v>45677</v>
      </c>
      <c r="I45" s="7">
        <v>46021</v>
      </c>
      <c r="J45" s="5">
        <f t="shared" si="3"/>
        <v>344</v>
      </c>
      <c r="K45" s="5">
        <f>IFERROR(INDEX(Tabela3[ID_Responsavel], MATCH(L45,Tabela3[[Responsáveis ]], 0)), "Não encontrado")</f>
        <v>8</v>
      </c>
      <c r="L45" s="5" t="s">
        <v>94</v>
      </c>
      <c r="M45" s="5" t="s">
        <v>19</v>
      </c>
      <c r="N45" s="163"/>
      <c r="O45" s="161"/>
    </row>
    <row r="46" spans="1:15" hidden="1">
      <c r="A46" s="4">
        <f>IFERROR(INDEX(Tabela2[ID_Area], MATCH(B46,Tabela2[Area], 0)), "Não encontrado")</f>
        <v>1003</v>
      </c>
      <c r="B46" s="4" t="s">
        <v>92</v>
      </c>
      <c r="C46" s="4" t="s">
        <v>24</v>
      </c>
      <c r="D46" s="4">
        <f t="shared" si="1"/>
        <v>144</v>
      </c>
      <c r="E46" s="4" t="s">
        <v>97</v>
      </c>
      <c r="F46" s="4" t="str">
        <f t="shared" ca="1" si="2"/>
        <v>Concluído</v>
      </c>
      <c r="G46" s="6" cm="1">
        <f t="array" ref="G46">SUMPRODUCT(
    (Atividades!$E$2:$E$598=Metas!E46) * (Atividades!$O$2:$O$598=Metas!L46),
    Atividades!$I$2:$I$598,
    Atividades!$J$2:$J$598
) / SUMPRODUCT(
    (Atividades!$E$2:$E$598=Metas!E46) * (Atividades!$O$2:$O$598=Metas!L46),
    Atividades!$J$2:$J$598
)</f>
        <v>1</v>
      </c>
      <c r="H46" s="7">
        <v>45700</v>
      </c>
      <c r="I46" s="7">
        <v>46021</v>
      </c>
      <c r="J46" s="5">
        <f t="shared" si="3"/>
        <v>321</v>
      </c>
      <c r="K46" s="5">
        <f>IFERROR(INDEX(Tabela3[ID_Responsavel], MATCH(L46,Tabela3[[Responsáveis ]], 0)), "Não encontrado")</f>
        <v>8</v>
      </c>
      <c r="L46" s="5" t="s">
        <v>94</v>
      </c>
      <c r="M46" s="5" t="s">
        <v>19</v>
      </c>
      <c r="N46" s="163"/>
      <c r="O46" s="161"/>
    </row>
    <row r="47" spans="1:15" hidden="1">
      <c r="A47" s="4">
        <f>IFERROR(INDEX(Tabela2[ID_Area], MATCH(B47,Tabela2[Area], 0)), "Não encontrado")</f>
        <v>1003</v>
      </c>
      <c r="B47" s="4" t="s">
        <v>92</v>
      </c>
      <c r="C47" s="4" t="s">
        <v>24</v>
      </c>
      <c r="D47" s="4">
        <f t="shared" si="1"/>
        <v>145</v>
      </c>
      <c r="E47" s="4" t="s">
        <v>98</v>
      </c>
      <c r="F47" s="4" t="str">
        <f t="shared" ca="1" si="2"/>
        <v>Concluído</v>
      </c>
      <c r="G47" s="6" cm="1">
        <f t="array" ref="G47">SUMPRODUCT(
    (Atividades!$E$2:$E$598=Metas!E47) * (Atividades!$O$2:$O$598=Metas!L47),
    Atividades!$I$2:$I$598,
    Atividades!$J$2:$J$598
) / SUMPRODUCT(
    (Atividades!$E$2:$E$598=Metas!E47) * (Atividades!$O$2:$O$598=Metas!L47),
    Atividades!$J$2:$J$598
)</f>
        <v>1</v>
      </c>
      <c r="H47" s="7">
        <v>45659</v>
      </c>
      <c r="I47" s="22">
        <v>46022</v>
      </c>
      <c r="J47" s="5">
        <f t="shared" si="3"/>
        <v>363</v>
      </c>
      <c r="K47" s="5">
        <f>IFERROR(INDEX(Tabela3[ID_Responsavel], MATCH(L47,Tabela3[[Responsáveis ]], 0)), "Não encontrado")</f>
        <v>8</v>
      </c>
      <c r="L47" s="5" t="s">
        <v>94</v>
      </c>
      <c r="M47" s="5" t="s">
        <v>19</v>
      </c>
      <c r="N47" s="163"/>
      <c r="O47" s="161"/>
    </row>
    <row r="48" spans="1:15" hidden="1">
      <c r="A48" s="4">
        <f>IFERROR(INDEX(Tabela2[ID_Area], MATCH(B48,Tabela2[Area], 0)), "Não encontrado")</f>
        <v>1001</v>
      </c>
      <c r="B48" s="4" t="s">
        <v>66</v>
      </c>
      <c r="C48" s="4" t="s">
        <v>99</v>
      </c>
      <c r="D48" s="4">
        <f t="shared" si="1"/>
        <v>146</v>
      </c>
      <c r="E48" s="4" t="s">
        <v>100</v>
      </c>
      <c r="F48" s="4" t="str">
        <f t="shared" ca="1" si="2"/>
        <v>Concluído</v>
      </c>
      <c r="G48" s="6" cm="1">
        <f t="array" ref="G48">SUMPRODUCT(
    (Atividades!$E$2:$E$598=Metas!E48) * (Atividades!$O$2:$O$598=Metas!L48),
    Atividades!$I$2:$I$598,
    Atividades!$J$2:$J$598
) / SUMPRODUCT(
    (Atividades!$E$2:$E$598=Metas!E48) * (Atividades!$O$2:$O$598=Metas!L48),
    Atividades!$J$2:$J$598
)</f>
        <v>1</v>
      </c>
      <c r="H48" s="7">
        <v>45663</v>
      </c>
      <c r="I48" s="7">
        <v>45967</v>
      </c>
      <c r="J48" s="5">
        <f t="shared" si="3"/>
        <v>304</v>
      </c>
      <c r="K48" s="5">
        <f>IFERROR(INDEX(Tabela3[ID_Responsavel], MATCH(L48,Tabela3[[Responsáveis ]], 0)), "Não encontrado")</f>
        <v>26</v>
      </c>
      <c r="L48" s="5" t="s">
        <v>101</v>
      </c>
      <c r="M48" s="5" t="s">
        <v>48</v>
      </c>
      <c r="N48" s="163"/>
      <c r="O48" s="161" t="s">
        <v>22</v>
      </c>
    </row>
    <row r="49" spans="1:15" hidden="1">
      <c r="A49" s="4">
        <f>IFERROR(INDEX(Tabela2[ID_Area], MATCH(B49,Tabela2[Area], 0)), "Não encontrado")</f>
        <v>1001</v>
      </c>
      <c r="B49" s="4" t="s">
        <v>66</v>
      </c>
      <c r="C49" s="4" t="s">
        <v>99</v>
      </c>
      <c r="D49" s="4">
        <f t="shared" si="1"/>
        <v>147</v>
      </c>
      <c r="E49" s="4" t="s">
        <v>102</v>
      </c>
      <c r="F49" s="4" t="str">
        <f t="shared" ca="1" si="2"/>
        <v>Concluído</v>
      </c>
      <c r="G49" s="6" cm="1">
        <f t="array" ref="G49">SUMPRODUCT(
    (Atividades!$E$2:$E$598=Metas!E49) * (Atividades!$O$2:$O$598=Metas!L49),
    Atividades!$I$2:$I$598,
    Atividades!$J$2:$J$598
) / SUMPRODUCT(
    (Atividades!$E$2:$E$598=Metas!E49) * (Atividades!$O$2:$O$598=Metas!L49),
    Atividades!$J$2:$J$598
)</f>
        <v>1</v>
      </c>
      <c r="H49" s="7">
        <v>45663</v>
      </c>
      <c r="I49" s="7">
        <v>45967</v>
      </c>
      <c r="J49" s="5">
        <f t="shared" si="3"/>
        <v>304</v>
      </c>
      <c r="K49" s="5">
        <f>IFERROR(INDEX(Tabela3[ID_Responsavel], MATCH(L49,Tabela3[[Responsáveis ]], 0)), "Não encontrado")</f>
        <v>26</v>
      </c>
      <c r="L49" s="5" t="s">
        <v>101</v>
      </c>
      <c r="M49" s="5" t="s">
        <v>48</v>
      </c>
      <c r="N49" s="163"/>
      <c r="O49" s="161" t="s">
        <v>22</v>
      </c>
    </row>
    <row r="50" spans="1:15" hidden="1">
      <c r="A50" s="4">
        <f>IFERROR(INDEX(Tabela2[ID_Area], MATCH(B50,Tabela2[Area], 0)), "Não encontrado")</f>
        <v>1001</v>
      </c>
      <c r="B50" s="4" t="s">
        <v>66</v>
      </c>
      <c r="C50" s="4" t="s">
        <v>24</v>
      </c>
      <c r="D50" s="4">
        <f t="shared" si="1"/>
        <v>148</v>
      </c>
      <c r="E50" s="4" t="s">
        <v>103</v>
      </c>
      <c r="F50" s="4" t="str">
        <f t="shared" ca="1" si="2"/>
        <v>Concluído</v>
      </c>
      <c r="G50" s="6" cm="1">
        <f t="array" ref="G50">SUMPRODUCT(
    (Atividades!$E$2:$E$598=Metas!E50) * (Atividades!$O$2:$O$598=Metas!L50),
    Atividades!$I$2:$I$598,
    Atividades!$J$2:$J$598
) / SUMPRODUCT(
    (Atividades!$E$2:$E$598=Metas!E50) * (Atividades!$O$2:$O$598=Metas!L50),
    Atividades!$J$2:$J$598
)</f>
        <v>1</v>
      </c>
      <c r="H50" s="7">
        <v>45658</v>
      </c>
      <c r="I50" s="7">
        <v>45967</v>
      </c>
      <c r="J50" s="5">
        <f t="shared" si="3"/>
        <v>309</v>
      </c>
      <c r="K50" s="5">
        <f>IFERROR(INDEX(Tabela3[ID_Responsavel], MATCH(L50,Tabela3[[Responsáveis ]], 0)), "Não encontrado")</f>
        <v>26</v>
      </c>
      <c r="L50" s="5" t="s">
        <v>101</v>
      </c>
      <c r="M50" s="5" t="s">
        <v>48</v>
      </c>
      <c r="N50" s="163"/>
      <c r="O50" s="161" t="s">
        <v>22</v>
      </c>
    </row>
    <row r="51" spans="1:15" hidden="1">
      <c r="A51" s="4">
        <f>IFERROR(INDEX(Tabela2[ID_Area], MATCH(B51,Tabela2[Area], 0)), "Não encontrado")</f>
        <v>1001</v>
      </c>
      <c r="B51" s="4" t="s">
        <v>66</v>
      </c>
      <c r="C51" s="4" t="s">
        <v>55</v>
      </c>
      <c r="D51" s="4">
        <f t="shared" si="1"/>
        <v>149</v>
      </c>
      <c r="E51" s="4" t="s">
        <v>104</v>
      </c>
      <c r="F51" s="4" t="str">
        <f t="shared" ca="1" si="2"/>
        <v>Atrasado</v>
      </c>
      <c r="G51" s="6" cm="1">
        <f t="array" ref="G51">SUMPRODUCT(
    (Atividades!$E$2:$E$598=Metas!E51) * (Atividades!$O$2:$O$598=Metas!L51),
    Atividades!$I$2:$I$598,
    Atividades!$J$2:$J$598
) / SUMPRODUCT(
    (Atividades!$E$2:$E$598=Metas!E51) * (Atividades!$O$2:$O$598=Metas!L51),
    Atividades!$J$2:$J$598
)</f>
        <v>0.30666666666666664</v>
      </c>
      <c r="H51" s="7">
        <v>45670</v>
      </c>
      <c r="I51" s="7">
        <v>45929</v>
      </c>
      <c r="J51" s="5">
        <f t="shared" si="3"/>
        <v>259</v>
      </c>
      <c r="K51" s="5">
        <f>IFERROR(INDEX(Tabela3[ID_Responsavel], MATCH(L51,Tabela3[[Responsáveis ]], 0)), "Não encontrado")</f>
        <v>23</v>
      </c>
      <c r="L51" s="5" t="s">
        <v>105</v>
      </c>
      <c r="M51" s="5" t="s">
        <v>48</v>
      </c>
      <c r="N51" s="163"/>
      <c r="O51" s="161"/>
    </row>
    <row r="52" spans="1:15" hidden="1">
      <c r="A52" s="4">
        <f>IFERROR(INDEX(Tabela2[ID_Area], MATCH(B52,Tabela2[Area], 0)), "Não encontrado")</f>
        <v>1001</v>
      </c>
      <c r="B52" s="4" t="s">
        <v>66</v>
      </c>
      <c r="C52" s="4" t="s">
        <v>55</v>
      </c>
      <c r="D52" s="4">
        <f t="shared" si="1"/>
        <v>150</v>
      </c>
      <c r="E52" s="4" t="s">
        <v>106</v>
      </c>
      <c r="F52" s="4" t="str">
        <f t="shared" ca="1" si="2"/>
        <v>Atrasado</v>
      </c>
      <c r="G52" s="6" cm="1">
        <f t="array" ref="G52">SUMPRODUCT(
    (Atividades!$E$2:$E$598=Metas!E52) * (Atividades!$O$2:$O$598=Metas!L52),
    Atividades!$I$2:$I$598,
    Atividades!$J$2:$J$598
) / SUMPRODUCT(
    (Atividades!$E$2:$E$598=Metas!E52) * (Atividades!$O$2:$O$598=Metas!L52),
    Atividades!$J$2:$J$598
)</f>
        <v>0.35699373695198333</v>
      </c>
      <c r="H52" s="7">
        <v>45659</v>
      </c>
      <c r="I52" s="7">
        <v>46011</v>
      </c>
      <c r="J52" s="5">
        <f t="shared" si="3"/>
        <v>352</v>
      </c>
      <c r="K52" s="5">
        <f>IFERROR(INDEX(Tabela3[ID_Responsavel], MATCH(L52,Tabela3[[Responsáveis ]], 0)), "Não encontrado")</f>
        <v>23</v>
      </c>
      <c r="L52" s="5" t="s">
        <v>105</v>
      </c>
      <c r="M52" s="5" t="s">
        <v>48</v>
      </c>
      <c r="N52" s="163"/>
      <c r="O52" s="161"/>
    </row>
    <row r="53" spans="1:15" hidden="1">
      <c r="A53" s="4">
        <f>IFERROR(INDEX(Tabela2[ID_Area], MATCH(B53,Tabela2[Area], 0)), "Não encontrado")</f>
        <v>1000</v>
      </c>
      <c r="B53" s="4" t="s">
        <v>54</v>
      </c>
      <c r="C53" s="4" t="s">
        <v>55</v>
      </c>
      <c r="D53" s="4">
        <f t="shared" si="1"/>
        <v>151</v>
      </c>
      <c r="E53" s="4" t="s">
        <v>107</v>
      </c>
      <c r="F53" s="4" t="str">
        <f t="shared" ca="1" si="2"/>
        <v>Atrasado</v>
      </c>
      <c r="G53" s="6" cm="1">
        <f t="array" ref="G53">SUMPRODUCT(
    (Atividades!$E$2:$E$598=Metas!E53) * (Atividades!$O$2:$O$598=Metas!L53),
    Atividades!$I$2:$I$598,
    Atividades!$J$2:$J$598
) / SUMPRODUCT(
    (Atividades!$E$2:$E$598=Metas!E53) * (Atividades!$O$2:$O$598=Metas!L53),
    Atividades!$J$2:$J$598
)</f>
        <v>0.98041733547351517</v>
      </c>
      <c r="H53" s="7">
        <v>45670</v>
      </c>
      <c r="I53" s="7">
        <v>45981</v>
      </c>
      <c r="J53" s="5">
        <f t="shared" si="3"/>
        <v>311</v>
      </c>
      <c r="K53" s="5">
        <f>IFERROR(INDEX(Tabela3[ID_Responsavel], MATCH(L53,Tabela3[[Responsáveis ]], 0)), "Não encontrado")</f>
        <v>14</v>
      </c>
      <c r="L53" s="5" t="s">
        <v>108</v>
      </c>
      <c r="M53" s="5" t="s">
        <v>31</v>
      </c>
      <c r="N53" s="163"/>
      <c r="O53" s="161"/>
    </row>
    <row r="54" spans="1:15" hidden="1">
      <c r="A54" s="4">
        <f>IFERROR(INDEX(Tabela2[ID_Area], MATCH(B54,Tabela2[Area], 0)), "Não encontrado")</f>
        <v>1000</v>
      </c>
      <c r="B54" s="4" t="s">
        <v>54</v>
      </c>
      <c r="C54" s="4" t="s">
        <v>55</v>
      </c>
      <c r="D54" s="4">
        <f t="shared" si="1"/>
        <v>152</v>
      </c>
      <c r="E54" s="4" t="s">
        <v>109</v>
      </c>
      <c r="F54" s="4" t="str">
        <f t="shared" ca="1" si="2"/>
        <v>Atrasado</v>
      </c>
      <c r="G54" s="6" cm="1">
        <f t="array" ref="G54">SUMPRODUCT(
    (Atividades!$E$2:$E$598=Metas!E54) * (Atividades!$O$2:$O$598=Metas!L54),
    Atividades!$I$2:$I$598,
    Atividades!$J$2:$J$598
) / SUMPRODUCT(
    (Atividades!$E$2:$E$598=Metas!E54) * (Atividades!$O$2:$O$598=Metas!L54),
    Atividades!$J$2:$J$598
)</f>
        <v>0.60452586206896552</v>
      </c>
      <c r="H54" s="7">
        <v>45659</v>
      </c>
      <c r="I54" s="7">
        <v>46011</v>
      </c>
      <c r="J54" s="5">
        <f t="shared" si="3"/>
        <v>352</v>
      </c>
      <c r="K54" s="5">
        <f>IFERROR(INDEX(Tabela3[ID_Responsavel], MATCH(L54,Tabela3[[Responsáveis ]], 0)), "Não encontrado")</f>
        <v>14</v>
      </c>
      <c r="L54" s="5" t="s">
        <v>108</v>
      </c>
      <c r="M54" s="5" t="s">
        <v>31</v>
      </c>
      <c r="N54" s="163"/>
      <c r="O54" s="161"/>
    </row>
    <row r="55" spans="1:15" hidden="1">
      <c r="A55" s="4">
        <f>IFERROR(INDEX(Tabela2[ID_Area], MATCH(B55,Tabela2[Area], 0)), "Não encontrado")</f>
        <v>1001</v>
      </c>
      <c r="B55" s="4" t="s">
        <v>66</v>
      </c>
      <c r="C55" s="4" t="s">
        <v>55</v>
      </c>
      <c r="D55" s="4">
        <f t="shared" si="1"/>
        <v>153</v>
      </c>
      <c r="E55" s="4" t="s">
        <v>110</v>
      </c>
      <c r="F55" s="4" t="str">
        <f t="shared" ca="1" si="2"/>
        <v>Atrasado</v>
      </c>
      <c r="G55" s="6" cm="1">
        <f t="array" ref="G55">SUMPRODUCT(
    (Atividades!$E$2:$E$598=Metas!E55) * (Atividades!$O$2:$O$598=Metas!L55),
    Atividades!$I$2:$I$598,
    Atividades!$J$2:$J$598
) / SUMPRODUCT(
    (Atividades!$E$2:$E$598=Metas!E55) * (Atividades!$O$2:$O$598=Metas!L55),
    Atividades!$J$2:$J$598
)</f>
        <v>0.96000000000000008</v>
      </c>
      <c r="H55" s="7">
        <v>45858</v>
      </c>
      <c r="I55" s="7">
        <v>46021</v>
      </c>
      <c r="J55" s="5">
        <f t="shared" si="3"/>
        <v>163</v>
      </c>
      <c r="K55" s="5">
        <f>IFERROR(INDEX(Tabela3[ID_Responsavel], MATCH(L55,Tabela3[[Responsáveis ]], 0)), "Não encontrado")</f>
        <v>26</v>
      </c>
      <c r="L55" s="5" t="s">
        <v>101</v>
      </c>
      <c r="M55" s="5" t="s">
        <v>48</v>
      </c>
      <c r="N55" s="163"/>
      <c r="O55" s="161" t="s">
        <v>21</v>
      </c>
    </row>
    <row r="56" spans="1:15" hidden="1">
      <c r="A56" s="4">
        <f>IFERROR(INDEX(Tabela2[ID_Area], MATCH(B56,Tabela2[Area], 0)), "Não encontrado")</f>
        <v>1001</v>
      </c>
      <c r="B56" s="4" t="s">
        <v>66</v>
      </c>
      <c r="C56" s="4" t="s">
        <v>55</v>
      </c>
      <c r="D56" s="4">
        <f t="shared" si="1"/>
        <v>154</v>
      </c>
      <c r="E56" s="4" t="s">
        <v>111</v>
      </c>
      <c r="F56" s="4" t="str">
        <f t="shared" ca="1" si="2"/>
        <v>Concluído</v>
      </c>
      <c r="G56" s="6" cm="1">
        <f t="array" ref="G56">SUMPRODUCT(
    (Atividades!$E$2:$E$598=Metas!E56) * (Atividades!$O$2:$O$598=Metas!L56),
    Atividades!$I$2:$I$598,
    Atividades!$J$2:$J$598
) / SUMPRODUCT(
    (Atividades!$E$2:$E$598=Metas!E56) * (Atividades!$O$2:$O$598=Metas!L56),
    Atividades!$J$2:$J$598
)</f>
        <v>1</v>
      </c>
      <c r="H56" s="7">
        <v>45659</v>
      </c>
      <c r="I56" s="7">
        <v>46021</v>
      </c>
      <c r="J56" s="5">
        <f t="shared" ref="J56:J60" si="4">I56-H56</f>
        <v>362</v>
      </c>
      <c r="K56" s="5">
        <f>IFERROR(INDEX(Tabela3[ID_Responsavel], MATCH(L56,Tabela3[[Responsáveis ]], 0)), "Não encontrado")</f>
        <v>17</v>
      </c>
      <c r="L56" s="5" t="s">
        <v>112</v>
      </c>
      <c r="M56" s="5" t="s">
        <v>48</v>
      </c>
      <c r="N56" s="163"/>
      <c r="O56" s="161" t="s">
        <v>22</v>
      </c>
    </row>
    <row r="57" spans="1:15" hidden="1">
      <c r="A57" s="4">
        <f>IFERROR(INDEX(Tabela2[ID_Area], MATCH(B57,Tabela2[Area], 0)), "Não encontrado")</f>
        <v>1001</v>
      </c>
      <c r="B57" s="4" t="s">
        <v>66</v>
      </c>
      <c r="C57" s="4" t="s">
        <v>86</v>
      </c>
      <c r="D57" s="4">
        <f t="shared" si="1"/>
        <v>155</v>
      </c>
      <c r="E57" s="4" t="s">
        <v>113</v>
      </c>
      <c r="F57" s="4" t="str">
        <f t="shared" ref="F57:F93" ca="1" si="5">IF(G57=1,"Concluído",
   IF(TODAY()&gt;I57,"Atrasado",
      IF(AND(G57=0,TODAY()&lt;I57),"Não iniciado",
         "Em Andamento")))</f>
        <v>Concluído</v>
      </c>
      <c r="G57" s="6" cm="1">
        <f t="array" ref="G57">SUMPRODUCT(
    (Atividades!$E$2:$E$598=Metas!E57) * (Atividades!$O$2:$O$598=Metas!L57),
    Atividades!$I$2:$I$598,
    Atividades!$J$2:$J$598
) / SUMPRODUCT(
    (Atividades!$E$2:$E$598=Metas!E57) * (Atividades!$O$2:$O$598=Metas!L57),
    Atividades!$J$2:$J$598
)</f>
        <v>1</v>
      </c>
      <c r="H57" s="7">
        <v>45659</v>
      </c>
      <c r="I57" s="7">
        <v>45819</v>
      </c>
      <c r="J57" s="5">
        <f t="shared" si="4"/>
        <v>160</v>
      </c>
      <c r="K57" s="5">
        <f>IFERROR(INDEX(Tabela3[ID_Responsavel], MATCH(L57,Tabela3[[Responsáveis ]], 0)), "Não encontrado")</f>
        <v>17</v>
      </c>
      <c r="L57" s="5" t="s">
        <v>112</v>
      </c>
      <c r="M57" s="5" t="s">
        <v>48</v>
      </c>
      <c r="N57" s="163"/>
      <c r="O57" s="161" t="s">
        <v>22</v>
      </c>
    </row>
    <row r="58" spans="1:15" hidden="1">
      <c r="A58" s="4">
        <f>IFERROR(INDEX(Tabela2[ID_Area], MATCH(B58,Tabela2[Area], 0)), "Não encontrado")</f>
        <v>1001</v>
      </c>
      <c r="B58" s="4" t="s">
        <v>66</v>
      </c>
      <c r="C58" s="4" t="s">
        <v>55</v>
      </c>
      <c r="D58" s="4">
        <f t="shared" si="1"/>
        <v>156</v>
      </c>
      <c r="E58" s="4" t="s">
        <v>114</v>
      </c>
      <c r="F58" s="4" t="str">
        <f t="shared" ca="1" si="5"/>
        <v>Atrasado</v>
      </c>
      <c r="G58" s="6" cm="1">
        <f t="array" ref="G58">SUMPRODUCT(
    (Atividades!$E$2:$E$598=Metas!E58) * (Atividades!$O$2:$O$598=Metas!L58),
    Atividades!$I$2:$I$598,
    Atividades!$J$2:$J$598
) / SUMPRODUCT(
    (Atividades!$E$2:$E$598=Metas!E58) * (Atividades!$O$2:$O$598=Metas!L58),
    Atividades!$J$2:$J$598
)</f>
        <v>0.76138147566718994</v>
      </c>
      <c r="H58" s="7">
        <v>45659</v>
      </c>
      <c r="I58" s="7">
        <v>46021</v>
      </c>
      <c r="J58" s="5">
        <f t="shared" si="4"/>
        <v>362</v>
      </c>
      <c r="K58" s="5">
        <f>IFERROR(INDEX(Tabela3[ID_Responsavel], MATCH(L58,Tabela3[[Responsáveis ]], 0)), "Não encontrado")</f>
        <v>10</v>
      </c>
      <c r="L58" s="5" t="s">
        <v>115</v>
      </c>
      <c r="M58" s="5" t="s">
        <v>48</v>
      </c>
      <c r="N58" s="163" t="s">
        <v>116</v>
      </c>
      <c r="O58" s="161" t="s">
        <v>21</v>
      </c>
    </row>
    <row r="59" spans="1:15" hidden="1">
      <c r="A59" s="4">
        <f>IFERROR(INDEX(Tabela2[ID_Area], MATCH(B59,Tabela2[Area], 0)), "Não encontrado")</f>
        <v>1001</v>
      </c>
      <c r="B59" s="4" t="s">
        <v>66</v>
      </c>
      <c r="C59" s="4" t="s">
        <v>55</v>
      </c>
      <c r="D59" s="4">
        <f t="shared" si="1"/>
        <v>157</v>
      </c>
      <c r="E59" s="4" t="s">
        <v>117</v>
      </c>
      <c r="F59" s="4" t="str">
        <f t="shared" ca="1" si="5"/>
        <v>Concluído</v>
      </c>
      <c r="G59" s="6" cm="1">
        <f t="array" ref="G59">SUMPRODUCT(
    (Atividades!$E$2:$E$598=Metas!E59) * (Atividades!$O$2:$O$598=Metas!L59),
    Atividades!$I$2:$I$598,
    Atividades!$J$2:$J$598
) / SUMPRODUCT(
    (Atividades!$E$2:$E$598=Metas!E59) * (Atividades!$O$2:$O$598=Metas!L59),
    Atividades!$J$2:$J$598
)</f>
        <v>1</v>
      </c>
      <c r="H59" s="7">
        <v>45659</v>
      </c>
      <c r="I59" s="7">
        <v>46021</v>
      </c>
      <c r="J59" s="5">
        <f t="shared" si="4"/>
        <v>362</v>
      </c>
      <c r="K59" s="5">
        <f>IFERROR(INDEX(Tabela3[ID_Responsavel], MATCH(L59,Tabela3[[Responsáveis ]], 0)), "Não encontrado")</f>
        <v>10</v>
      </c>
      <c r="L59" s="5" t="s">
        <v>115</v>
      </c>
      <c r="M59" s="5" t="s">
        <v>48</v>
      </c>
      <c r="N59" s="163"/>
      <c r="O59" s="161" t="s">
        <v>22</v>
      </c>
    </row>
    <row r="60" spans="1:15" hidden="1">
      <c r="A60" s="4">
        <f>IFERROR(INDEX(Tabela2[ID_Area], MATCH(B60,Tabela2[Area], 0)), "Não encontrado")</f>
        <v>1002</v>
      </c>
      <c r="B60" s="4" t="s">
        <v>79</v>
      </c>
      <c r="C60" s="4" t="s">
        <v>55</v>
      </c>
      <c r="D60" s="4">
        <f t="shared" ref="D60:D103" si="6">ROW(D60) +98</f>
        <v>158</v>
      </c>
      <c r="E60" s="4" t="s">
        <v>118</v>
      </c>
      <c r="F60" s="4" t="str">
        <f t="shared" ca="1" si="5"/>
        <v>Concluído</v>
      </c>
      <c r="G60" s="6" cm="1">
        <f t="array" ref="G60">SUMPRODUCT(
    (Atividades!$E$2:$E$598=Metas!E60) * (Atividades!$O$2:$O$598=Metas!L60),
    Atividades!$I$2:$I$598,
    Atividades!$J$2:$J$598
) / SUMPRODUCT(
    (Atividades!$E$2:$E$598=Metas!E60) * (Atividades!$O$2:$O$598=Metas!L60),
    Atividades!$J$2:$J$598
)</f>
        <v>1</v>
      </c>
      <c r="H60" s="7">
        <v>45660</v>
      </c>
      <c r="I60" s="7">
        <v>46018</v>
      </c>
      <c r="J60" s="5">
        <f t="shared" si="4"/>
        <v>358</v>
      </c>
      <c r="K60" s="5">
        <f>IFERROR(INDEX(Tabela3[ID_Responsavel], MATCH(L60,Tabela3[[Responsáveis ]], 0)), "Não encontrado")</f>
        <v>13</v>
      </c>
      <c r="L60" s="5" t="s">
        <v>77</v>
      </c>
      <c r="M60" s="5" t="s">
        <v>19</v>
      </c>
      <c r="N60" s="163" t="s">
        <v>119</v>
      </c>
      <c r="O60" s="161" t="s">
        <v>22</v>
      </c>
    </row>
    <row r="61" spans="1:15" hidden="1">
      <c r="A61" s="4">
        <f>IFERROR(INDEX(Tabela2[ID_Area], MATCH(B61,Tabela2[Area], 0)), "Não encontrado")</f>
        <v>1002</v>
      </c>
      <c r="B61" s="4" t="s">
        <v>79</v>
      </c>
      <c r="C61" s="4" t="s">
        <v>120</v>
      </c>
      <c r="D61" s="4">
        <f t="shared" si="6"/>
        <v>159</v>
      </c>
      <c r="E61" s="4" t="s">
        <v>121</v>
      </c>
      <c r="F61" s="4" t="str">
        <f t="shared" ca="1" si="5"/>
        <v>Concluído</v>
      </c>
      <c r="G61" s="6" cm="1">
        <f t="array" ref="G61">SUMPRODUCT(
    (Atividades!$E$2:$E$598=Metas!E61) * (Atividades!$O$2:$O$598=Metas!L61),
    Atividades!$I$2:$I$598,
    Atividades!$J$2:$J$598
) / SUMPRODUCT(
    (Atividades!$E$2:$E$598=Metas!E61) * (Atividades!$O$2:$O$598=Metas!L61),
    Atividades!$J$2:$J$598
)</f>
        <v>1</v>
      </c>
      <c r="H61" s="7">
        <v>45658</v>
      </c>
      <c r="I61" s="7">
        <v>46021</v>
      </c>
      <c r="J61" s="5">
        <f t="shared" ref="J61:J103" si="7">I61-H61</f>
        <v>363</v>
      </c>
      <c r="K61" s="5">
        <f>IFERROR(INDEX(Tabela3[ID_Responsavel], MATCH(L61,Tabela3[[Responsáveis ]], 0)), "Não encontrado")</f>
        <v>2</v>
      </c>
      <c r="L61" s="5" t="s">
        <v>122</v>
      </c>
      <c r="M61" s="5" t="s">
        <v>48</v>
      </c>
      <c r="N61" s="163"/>
      <c r="O61" s="161" t="s">
        <v>22</v>
      </c>
    </row>
    <row r="62" spans="1:15" hidden="1">
      <c r="A62" s="4">
        <f>IFERROR(INDEX(Tabela2[ID_Area], MATCH(B62,Tabela2[Area], 0)), "Não encontrado")</f>
        <v>1002</v>
      </c>
      <c r="B62" s="4" t="s">
        <v>79</v>
      </c>
      <c r="C62" s="4" t="s">
        <v>67</v>
      </c>
      <c r="D62" s="4">
        <f t="shared" si="6"/>
        <v>160</v>
      </c>
      <c r="E62" s="4" t="s">
        <v>123</v>
      </c>
      <c r="F62" s="4" t="str">
        <f t="shared" ca="1" si="5"/>
        <v>Concluído</v>
      </c>
      <c r="G62" s="6" cm="1">
        <f t="array" ref="G62">SUMPRODUCT(
    (Atividades!$E$2:$E$598=Metas!E62) * (Atividades!$O$2:$O$598=Metas!L62),
    Atividades!$I$2:$I$598,
    Atividades!$J$2:$J$598
) / SUMPRODUCT(
    (Atividades!$E$2:$E$598=Metas!E62) * (Atividades!$O$2:$O$598=Metas!L62),
    Atividades!$J$2:$J$598
)</f>
        <v>1</v>
      </c>
      <c r="H62" s="7">
        <v>45670</v>
      </c>
      <c r="I62" s="7">
        <v>46021</v>
      </c>
      <c r="J62" s="5">
        <f t="shared" si="7"/>
        <v>351</v>
      </c>
      <c r="K62" s="5">
        <f>IFERROR(INDEX(Tabela3[ID_Responsavel], MATCH(L62,Tabela3[[Responsáveis ]], 0)), "Não encontrado")</f>
        <v>4</v>
      </c>
      <c r="L62" s="5" t="s">
        <v>124</v>
      </c>
      <c r="M62" s="5" t="s">
        <v>48</v>
      </c>
      <c r="N62" s="163"/>
      <c r="O62" s="161" t="s">
        <v>22</v>
      </c>
    </row>
    <row r="63" spans="1:15" hidden="1">
      <c r="A63" s="4">
        <f>IFERROR(INDEX(Tabela2[ID_Area], MATCH(B63,Tabela2[Area], 0)), "Não encontrado")</f>
        <v>1002</v>
      </c>
      <c r="B63" s="4" t="s">
        <v>79</v>
      </c>
      <c r="C63" s="4" t="s">
        <v>125</v>
      </c>
      <c r="D63" s="4">
        <f t="shared" si="6"/>
        <v>161</v>
      </c>
      <c r="E63" s="4" t="s">
        <v>126</v>
      </c>
      <c r="F63" s="4" t="str">
        <f t="shared" ca="1" si="5"/>
        <v>Concluído</v>
      </c>
      <c r="G63" s="6" cm="1">
        <f t="array" ref="G63">SUMPRODUCT(
    (Atividades!$E$2:$E$598=Metas!E63) * (Atividades!$O$2:$O$598=Metas!L63),
    Atividades!$I$2:$I$598,
    Atividades!$J$2:$J$598
) / SUMPRODUCT(
    (Atividades!$E$2:$E$598=Metas!E63) * (Atividades!$O$2:$O$598=Metas!L63),
    Atividades!$J$2:$J$598
)</f>
        <v>1</v>
      </c>
      <c r="H63" s="7">
        <v>45660</v>
      </c>
      <c r="I63" s="7">
        <v>46021</v>
      </c>
      <c r="J63" s="5">
        <f t="shared" si="7"/>
        <v>361</v>
      </c>
      <c r="K63" s="5">
        <f>IFERROR(INDEX(Tabela3[ID_Responsavel], MATCH(L63,Tabela3[[Responsáveis ]], 0)), "Não encontrado")</f>
        <v>4</v>
      </c>
      <c r="L63" s="5" t="s">
        <v>124</v>
      </c>
      <c r="M63" s="5" t="s">
        <v>48</v>
      </c>
      <c r="N63" s="163"/>
      <c r="O63" s="161" t="s">
        <v>22</v>
      </c>
    </row>
    <row r="64" spans="1:15" hidden="1">
      <c r="A64" s="4">
        <f>IFERROR(INDEX(Tabela2[ID_Area], MATCH(B64,Tabela2[Area], 0)), "Não encontrado")</f>
        <v>1002</v>
      </c>
      <c r="B64" s="4" t="s">
        <v>79</v>
      </c>
      <c r="C64" s="4" t="s">
        <v>125</v>
      </c>
      <c r="D64" s="4">
        <f t="shared" si="6"/>
        <v>162</v>
      </c>
      <c r="E64" s="4" t="s">
        <v>127</v>
      </c>
      <c r="F64" s="4" t="str">
        <f t="shared" ca="1" si="5"/>
        <v>Concluído</v>
      </c>
      <c r="G64" s="6" cm="1">
        <f t="array" ref="G64">SUMPRODUCT(
    (Atividades!$E$2:$E$598=Metas!E64) * (Atividades!$O$2:$O$598=Metas!L64),
    Atividades!$I$2:$I$598,
    Atividades!$J$2:$J$598
) / SUMPRODUCT(
    (Atividades!$E$2:$E$598=Metas!E64) * (Atividades!$O$2:$O$598=Metas!L64),
    Atividades!$J$2:$J$598
)</f>
        <v>1</v>
      </c>
      <c r="H64" s="7">
        <v>45717</v>
      </c>
      <c r="I64" s="7">
        <v>46021</v>
      </c>
      <c r="J64" s="5">
        <f t="shared" si="7"/>
        <v>304</v>
      </c>
      <c r="K64" s="5">
        <f>IFERROR(INDEX(Tabela3[ID_Responsavel], MATCH(L64,Tabela3[[Responsáveis ]], 0)), "Não encontrado")</f>
        <v>4</v>
      </c>
      <c r="L64" s="5" t="s">
        <v>124</v>
      </c>
      <c r="M64" s="5" t="s">
        <v>48</v>
      </c>
      <c r="N64" s="163"/>
      <c r="O64" s="161" t="s">
        <v>22</v>
      </c>
    </row>
    <row r="65" spans="1:15" hidden="1">
      <c r="A65" s="4">
        <f>IFERROR(INDEX(Tabela2[ID_Area], MATCH(B65,Tabela2[Area], 0)), "Não encontrado")</f>
        <v>1002</v>
      </c>
      <c r="B65" s="4" t="s">
        <v>79</v>
      </c>
      <c r="C65" s="4" t="s">
        <v>128</v>
      </c>
      <c r="D65" s="4">
        <f t="shared" si="6"/>
        <v>163</v>
      </c>
      <c r="E65" s="4" t="s">
        <v>129</v>
      </c>
      <c r="F65" s="4" t="str">
        <f t="shared" ca="1" si="5"/>
        <v>Concluído</v>
      </c>
      <c r="G65" s="6" cm="1">
        <f t="array" ref="G65">SUMPRODUCT(
    (Atividades!$E$2:$E$598=Metas!E65) * (Atividades!$O$2:$O$598=Metas!L65),
    Atividades!$I$2:$I$598,
    Atividades!$J$2:$J$598
) / SUMPRODUCT(
    (Atividades!$E$2:$E$598=Metas!E65) * (Atividades!$O$2:$O$598=Metas!L65),
    Atividades!$J$2:$J$598
)</f>
        <v>1</v>
      </c>
      <c r="H65" s="7">
        <v>45688</v>
      </c>
      <c r="I65" s="7">
        <v>45751</v>
      </c>
      <c r="J65" s="5">
        <f t="shared" si="7"/>
        <v>63</v>
      </c>
      <c r="K65" s="5">
        <f>IFERROR(INDEX(Tabela3[ID_Responsavel], MATCH(L65,Tabela3[[Responsáveis ]], 0)), "Não encontrado")</f>
        <v>4</v>
      </c>
      <c r="L65" s="5" t="s">
        <v>124</v>
      </c>
      <c r="M65" s="5" t="s">
        <v>48</v>
      </c>
      <c r="N65" s="163"/>
      <c r="O65" s="161" t="s">
        <v>22</v>
      </c>
    </row>
    <row r="66" spans="1:15" hidden="1">
      <c r="A66" s="4">
        <f>IFERROR(INDEX(Tabela2[ID_Area], MATCH(B66,Tabela2[Area], 0)), "Não encontrado")</f>
        <v>1002</v>
      </c>
      <c r="B66" s="4" t="s">
        <v>79</v>
      </c>
      <c r="C66" s="4" t="s">
        <v>67</v>
      </c>
      <c r="D66" s="4">
        <f t="shared" si="6"/>
        <v>164</v>
      </c>
      <c r="E66" s="4" t="s">
        <v>130</v>
      </c>
      <c r="F66" s="4" t="str">
        <f t="shared" ca="1" si="5"/>
        <v>Concluído</v>
      </c>
      <c r="G66" s="6" cm="1">
        <f t="array" ref="G66">SUMPRODUCT(
    (Atividades!$E$2:$E$598=Metas!E66) * (Atividades!$O$2:$O$598=Metas!L66),
    Atividades!$I$2:$I$598,
    Atividades!$J$2:$J$598
) / SUMPRODUCT(
    (Atividades!$E$2:$E$598=Metas!E66) * (Atividades!$O$2:$O$598=Metas!L66),
    Atividades!$J$2:$J$598
)</f>
        <v>1</v>
      </c>
      <c r="H66" s="7">
        <v>45670</v>
      </c>
      <c r="I66" s="7">
        <v>45940</v>
      </c>
      <c r="J66" s="5">
        <f t="shared" si="7"/>
        <v>270</v>
      </c>
      <c r="K66" s="5">
        <f>IFERROR(INDEX(Tabela3[ID_Responsavel], MATCH(L66,Tabela3[[Responsáveis ]], 0)), "Não encontrado")</f>
        <v>6</v>
      </c>
      <c r="L66" s="5" t="s">
        <v>131</v>
      </c>
      <c r="M66" s="5" t="s">
        <v>48</v>
      </c>
      <c r="N66" s="163" t="s">
        <v>132</v>
      </c>
      <c r="O66" s="161" t="s">
        <v>22</v>
      </c>
    </row>
    <row r="67" spans="1:15" hidden="1">
      <c r="A67" s="4">
        <f>IFERROR(INDEX(Tabela2[ID_Area], MATCH(B67,Tabela2[Area], 0)), "Não encontrado")</f>
        <v>1002</v>
      </c>
      <c r="B67" s="4" t="s">
        <v>79</v>
      </c>
      <c r="C67" s="4" t="s">
        <v>120</v>
      </c>
      <c r="D67" s="4">
        <f t="shared" si="6"/>
        <v>165</v>
      </c>
      <c r="E67" s="4" t="s">
        <v>133</v>
      </c>
      <c r="F67" s="4" t="str">
        <f t="shared" ca="1" si="5"/>
        <v>Concluído</v>
      </c>
      <c r="G67" s="6" cm="1">
        <f t="array" ref="G67">SUMPRODUCT(
    (Atividades!$E$2:$E$598=Metas!E67) * (Atividades!$O$2:$O$598=Metas!L67),
    Atividades!$I$2:$I$598,
    Atividades!$J$2:$J$598
) / SUMPRODUCT(
    (Atividades!$E$2:$E$598=Metas!E67) * (Atividades!$O$2:$O$598=Metas!L67),
    Atividades!$J$2:$J$598
)</f>
        <v>1</v>
      </c>
      <c r="H67" s="7">
        <v>45658</v>
      </c>
      <c r="I67" s="7">
        <v>45998</v>
      </c>
      <c r="J67" s="5">
        <f t="shared" si="7"/>
        <v>340</v>
      </c>
      <c r="K67" s="5">
        <f>IFERROR(INDEX(Tabela3[ID_Responsavel], MATCH(L67,Tabela3[[Responsáveis ]], 0)), "Não encontrado")</f>
        <v>6</v>
      </c>
      <c r="L67" s="5" t="s">
        <v>131</v>
      </c>
      <c r="M67" s="5" t="s">
        <v>48</v>
      </c>
      <c r="N67" s="163" t="s">
        <v>134</v>
      </c>
      <c r="O67" s="161" t="s">
        <v>22</v>
      </c>
    </row>
    <row r="68" spans="1:15" hidden="1">
      <c r="A68" s="4">
        <f>IFERROR(INDEX(Tabela2[ID_Area], MATCH(B68,Tabela2[Area], 0)), "Não encontrado")</f>
        <v>1002</v>
      </c>
      <c r="B68" s="4" t="s">
        <v>79</v>
      </c>
      <c r="C68" s="4" t="s">
        <v>125</v>
      </c>
      <c r="D68" s="4">
        <f t="shared" si="6"/>
        <v>166</v>
      </c>
      <c r="E68" s="4" t="s">
        <v>135</v>
      </c>
      <c r="F68" s="4" t="str">
        <f t="shared" ca="1" si="5"/>
        <v>Concluído</v>
      </c>
      <c r="G68" s="6" cm="1">
        <f t="array" ref="G68">SUMPRODUCT(
    (Atividades!$E$2:$E$598=Metas!E68) * (Atividades!$O$2:$O$598=Metas!L68),
    Atividades!$I$2:$I$598,
    Atividades!$J$2:$J$598
) / SUMPRODUCT(
    (Atividades!$E$2:$E$598=Metas!E68) * (Atividades!$O$2:$O$598=Metas!L68),
    Atividades!$J$2:$J$598
)</f>
        <v>1</v>
      </c>
      <c r="H68" s="7">
        <v>45660</v>
      </c>
      <c r="I68" s="7">
        <v>46021</v>
      </c>
      <c r="J68" s="5">
        <f t="shared" si="7"/>
        <v>361</v>
      </c>
      <c r="K68" s="5">
        <f>IFERROR(INDEX(Tabela3[ID_Responsavel], MATCH(L68,Tabela3[[Responsáveis ]], 0)), "Não encontrado")</f>
        <v>9</v>
      </c>
      <c r="L68" s="5" t="s">
        <v>136</v>
      </c>
      <c r="M68" s="5" t="s">
        <v>48</v>
      </c>
      <c r="N68" s="163"/>
      <c r="O68" s="161" t="s">
        <v>22</v>
      </c>
    </row>
    <row r="69" spans="1:15" hidden="1">
      <c r="A69" s="4">
        <f>IFERROR(INDEX(Tabela2[ID_Area], MATCH(B69,Tabela2[Area], 0)), "Não encontrado")</f>
        <v>1002</v>
      </c>
      <c r="B69" s="4" t="s">
        <v>79</v>
      </c>
      <c r="C69" s="4" t="s">
        <v>125</v>
      </c>
      <c r="D69" s="4">
        <f t="shared" si="6"/>
        <v>167</v>
      </c>
      <c r="E69" s="4" t="s">
        <v>137</v>
      </c>
      <c r="F69" s="4" t="str">
        <f t="shared" ca="1" si="5"/>
        <v>Concluído</v>
      </c>
      <c r="G69" s="6" cm="1">
        <f t="array" ref="G69">SUMPRODUCT(
    (Atividades!$E$2:$E$598=Metas!E69) * (Atividades!$O$2:$O$598=Metas!L69),
    Atividades!$I$2:$I$598,
    Atividades!$J$2:$J$598
) / SUMPRODUCT(
    (Atividades!$E$2:$E$598=Metas!E69) * (Atividades!$O$2:$O$598=Metas!L69),
    Atividades!$J$2:$J$598
)</f>
        <v>1</v>
      </c>
      <c r="H69" s="7">
        <v>45660</v>
      </c>
      <c r="I69" s="7">
        <v>46022</v>
      </c>
      <c r="J69" s="5">
        <f t="shared" si="7"/>
        <v>362</v>
      </c>
      <c r="K69" s="5">
        <f>IFERROR(INDEX(Tabela3[ID_Responsavel], MATCH(L69,Tabela3[[Responsáveis ]], 0)), "Não encontrado")</f>
        <v>9</v>
      </c>
      <c r="L69" s="5" t="s">
        <v>136</v>
      </c>
      <c r="M69" s="5" t="s">
        <v>48</v>
      </c>
      <c r="N69" s="163"/>
      <c r="O69" s="161" t="s">
        <v>22</v>
      </c>
    </row>
    <row r="70" spans="1:15" hidden="1">
      <c r="A70" s="4">
        <f>IFERROR(INDEX(Tabela2[ID_Area], MATCH(B70,Tabela2[Area], 0)), "Não encontrado")</f>
        <v>1001</v>
      </c>
      <c r="B70" s="4" t="s">
        <v>66</v>
      </c>
      <c r="C70" s="4" t="s">
        <v>55</v>
      </c>
      <c r="D70" s="4">
        <f t="shared" si="6"/>
        <v>168</v>
      </c>
      <c r="E70" s="4" t="s">
        <v>138</v>
      </c>
      <c r="F70" s="4" t="e">
        <f t="shared" ca="1" si="5"/>
        <v>#DIV/0!</v>
      </c>
      <c r="G70" s="6" t="e" cm="1">
        <f t="array" ref="G70">SUMPRODUCT(
    (Atividades!$E$2:$E$598=Metas!E70) * (Atividades!$O$2:$O$598=Metas!L70),
    Atividades!$I$2:$I$598,
    Atividades!$J$2:$J$598
) / SUMPRODUCT(
    (Atividades!$E$2:$E$598=Metas!E70) * (Atividades!$O$2:$O$598=Metas!L70),
    Atividades!$J$2:$J$598
)</f>
        <v>#DIV/0!</v>
      </c>
      <c r="H70" s="7">
        <v>45660</v>
      </c>
      <c r="I70" s="7">
        <v>46021</v>
      </c>
      <c r="J70" s="5">
        <f t="shared" si="7"/>
        <v>361</v>
      </c>
      <c r="K70" s="5">
        <f>IFERROR(INDEX(Tabela3[ID_Responsavel], MATCH(L70,Tabela3[[Responsáveis ]], 0)), "Não encontrado")</f>
        <v>19</v>
      </c>
      <c r="L70" s="5" t="s">
        <v>139</v>
      </c>
      <c r="M70" s="5" t="s">
        <v>140</v>
      </c>
      <c r="N70" s="163"/>
      <c r="O70" s="161"/>
    </row>
    <row r="71" spans="1:15" hidden="1">
      <c r="A71" s="4">
        <f>IFERROR(INDEX(Tabela2[ID_Area], MATCH(B71,Tabela2[Area], 0)), "Não encontrado")</f>
        <v>1003</v>
      </c>
      <c r="B71" s="4" t="s">
        <v>92</v>
      </c>
      <c r="C71" s="4" t="s">
        <v>67</v>
      </c>
      <c r="D71" s="4">
        <f t="shared" si="6"/>
        <v>169</v>
      </c>
      <c r="E71" s="4" t="s">
        <v>141</v>
      </c>
      <c r="F71" s="4" t="str">
        <f t="shared" ca="1" si="5"/>
        <v>Atrasado</v>
      </c>
      <c r="G71" s="6" cm="1">
        <f t="array" ref="G71">SUMPRODUCT(
    (Atividades!$E$2:$E$598=Metas!E71) * (Atividades!$O$2:$O$598=Metas!L71),
    Atividades!$I$2:$I$598,
    Atividades!$J$2:$J$598
) / SUMPRODUCT(
    (Atividades!$E$2:$E$598=Metas!E71) * (Atividades!$O$2:$O$598=Metas!L71),
    Atividades!$J$2:$J$598
)</f>
        <v>0.96975627769571637</v>
      </c>
      <c r="H71" s="8">
        <v>45658</v>
      </c>
      <c r="I71" s="8">
        <v>46022</v>
      </c>
      <c r="J71" s="5">
        <f t="shared" si="7"/>
        <v>364</v>
      </c>
      <c r="K71" s="5">
        <f>IFERROR(INDEX(Tabela3[ID_Responsavel], MATCH(L71,Tabela3[[Responsáveis ]], 0)), "Não encontrado")</f>
        <v>21</v>
      </c>
      <c r="L71" s="5" t="s">
        <v>142</v>
      </c>
      <c r="M71" s="5" t="s">
        <v>19</v>
      </c>
      <c r="N71" s="163"/>
      <c r="O71" s="161" t="s">
        <v>21</v>
      </c>
    </row>
    <row r="72" spans="1:15" hidden="1">
      <c r="A72" s="4">
        <f>IFERROR(INDEX(Tabela2[ID_Area], MATCH(B72,Tabela2[Area], 0)), "Não encontrado")</f>
        <v>1003</v>
      </c>
      <c r="B72" s="4" t="s">
        <v>92</v>
      </c>
      <c r="C72" s="4" t="s">
        <v>67</v>
      </c>
      <c r="D72" s="4">
        <f t="shared" si="6"/>
        <v>170</v>
      </c>
      <c r="E72" s="4" t="s">
        <v>143</v>
      </c>
      <c r="F72" s="4" t="str">
        <f t="shared" ca="1" si="5"/>
        <v>Concluído</v>
      </c>
      <c r="G72" s="6" cm="1">
        <f t="array" ref="G72">SUMPRODUCT(
    (Atividades!$E$2:$E$598=Metas!E72) * (Atividades!$O$2:$O$598=Metas!L72),
    Atividades!$I$2:$I$598,
    Atividades!$J$2:$J$598
) / SUMPRODUCT(
    (Atividades!$E$2:$E$598=Metas!E72) * (Atividades!$O$2:$O$598=Metas!L72),
    Atividades!$J$2:$J$598
)</f>
        <v>1</v>
      </c>
      <c r="H72" s="7">
        <v>45658</v>
      </c>
      <c r="I72" s="7">
        <v>45960</v>
      </c>
      <c r="J72" s="5">
        <f t="shared" si="7"/>
        <v>302</v>
      </c>
      <c r="K72" s="5">
        <f>IFERROR(INDEX(Tabela3[ID_Responsavel], MATCH(L72,Tabela3[[Responsáveis ]], 0)), "Não encontrado")</f>
        <v>21</v>
      </c>
      <c r="L72" s="5" t="s">
        <v>142</v>
      </c>
      <c r="M72" s="5" t="s">
        <v>19</v>
      </c>
      <c r="N72" s="163"/>
      <c r="O72" s="161" t="s">
        <v>22</v>
      </c>
    </row>
    <row r="73" spans="1:15" hidden="1">
      <c r="A73" s="4">
        <f>IFERROR(INDEX(Tabela2[ID_Area], MATCH(B73,Tabela2[Area], 0)), "Não encontrado")</f>
        <v>1003</v>
      </c>
      <c r="B73" s="4" t="s">
        <v>92</v>
      </c>
      <c r="C73" s="4" t="s">
        <v>55</v>
      </c>
      <c r="D73" s="4">
        <f t="shared" si="6"/>
        <v>171</v>
      </c>
      <c r="E73" s="4" t="s">
        <v>144</v>
      </c>
      <c r="F73" s="4" t="str">
        <f t="shared" ca="1" si="5"/>
        <v>Concluído</v>
      </c>
      <c r="G73" s="6" cm="1">
        <f t="array" ref="G73">SUMPRODUCT(
    (Atividades!$E$2:$E$598=Metas!E73) * (Atividades!$O$2:$O$598=Metas!L73),
    Atividades!$I$2:$I$598,
    Atividades!$J$2:$J$598
) / SUMPRODUCT(
    (Atividades!$E$2:$E$598=Metas!E73) * (Atividades!$O$2:$O$598=Metas!L73),
    Atividades!$J$2:$J$598
)</f>
        <v>1</v>
      </c>
      <c r="H73" s="7">
        <v>45658</v>
      </c>
      <c r="I73" s="7">
        <v>45930</v>
      </c>
      <c r="J73" s="5">
        <f t="shared" si="7"/>
        <v>272</v>
      </c>
      <c r="K73" s="5">
        <f>IFERROR(INDEX(Tabela3[ID_Responsavel], MATCH(L73,Tabela3[[Responsáveis ]], 0)), "Não encontrado")</f>
        <v>21</v>
      </c>
      <c r="L73" s="5" t="s">
        <v>142</v>
      </c>
      <c r="M73" s="5" t="s">
        <v>19</v>
      </c>
      <c r="N73" s="163"/>
      <c r="O73" s="161" t="s">
        <v>22</v>
      </c>
    </row>
    <row r="74" spans="1:15" hidden="1">
      <c r="A74" s="4">
        <f>IFERROR(INDEX(Tabela2[ID_Area], MATCH(B74,Tabela2[Area], 0)), "Não encontrado")</f>
        <v>1003</v>
      </c>
      <c r="B74" s="4" t="s">
        <v>92</v>
      </c>
      <c r="C74" s="4" t="s">
        <v>55</v>
      </c>
      <c r="D74" s="4">
        <f t="shared" si="6"/>
        <v>172</v>
      </c>
      <c r="E74" s="4" t="s">
        <v>145</v>
      </c>
      <c r="F74" s="4" t="str">
        <f t="shared" ca="1" si="5"/>
        <v>Concluído</v>
      </c>
      <c r="G74" s="6" cm="1">
        <f t="array" ref="G74">SUMPRODUCT(
    (Atividades!$E$2:$E$598=Metas!E74) * (Atividades!$O$2:$O$598=Metas!L74),
    Atividades!$I$2:$I$598,
    Atividades!$J$2:$J$598
) / SUMPRODUCT(
    (Atividades!$E$2:$E$598=Metas!E74) * (Atividades!$O$2:$O$598=Metas!L74),
    Atividades!$J$2:$J$598
)</f>
        <v>1</v>
      </c>
      <c r="H74" s="7">
        <v>45658</v>
      </c>
      <c r="I74" s="7">
        <v>45746</v>
      </c>
      <c r="J74" s="5">
        <f t="shared" si="7"/>
        <v>88</v>
      </c>
      <c r="K74" s="5">
        <f>IFERROR(INDEX(Tabela3[ID_Responsavel], MATCH(L74,Tabela3[[Responsáveis ]], 0)), "Não encontrado")</f>
        <v>21</v>
      </c>
      <c r="L74" s="5" t="s">
        <v>142</v>
      </c>
      <c r="M74" s="5" t="s">
        <v>19</v>
      </c>
      <c r="N74" s="163"/>
      <c r="O74" s="161" t="s">
        <v>22</v>
      </c>
    </row>
    <row r="75" spans="1:15" hidden="1">
      <c r="A75" s="4">
        <f>IFERROR(INDEX(Tabela2[ID_Area], MATCH(B75,Tabela2[Area], 0)), "Não encontrado")</f>
        <v>1003</v>
      </c>
      <c r="B75" s="4" t="s">
        <v>92</v>
      </c>
      <c r="C75" s="4" t="s">
        <v>67</v>
      </c>
      <c r="D75" s="4">
        <f t="shared" si="6"/>
        <v>173</v>
      </c>
      <c r="E75" s="4" t="s">
        <v>146</v>
      </c>
      <c r="F75" s="4" t="str">
        <f t="shared" ca="1" si="5"/>
        <v>Atrasado</v>
      </c>
      <c r="G75" s="6" cm="1">
        <f t="array" ref="G75">SUMPRODUCT(
    (Atividades!$E$2:$E$598=Metas!E75) * (Atividades!$O$2:$O$598=Metas!L75),
    Atividades!$I$2:$I$598,
    Atividades!$J$2:$J$598
) / SUMPRODUCT(
    (Atividades!$E$2:$E$598=Metas!E75) * (Atividades!$O$2:$O$598=Metas!L75),
    Atividades!$J$2:$J$598
)</f>
        <v>0.86689655172413782</v>
      </c>
      <c r="H75" s="7">
        <v>45658</v>
      </c>
      <c r="I75" s="7">
        <v>46022</v>
      </c>
      <c r="J75" s="5">
        <f t="shared" si="7"/>
        <v>364</v>
      </c>
      <c r="K75" s="5">
        <f>IFERROR(INDEX(Tabela3[ID_Responsavel], MATCH(L75,Tabela3[[Responsáveis ]], 0)), "Não encontrado")</f>
        <v>21</v>
      </c>
      <c r="L75" s="5" t="s">
        <v>142</v>
      </c>
      <c r="M75" s="5" t="s">
        <v>19</v>
      </c>
      <c r="N75" s="163"/>
      <c r="O75" s="161"/>
    </row>
    <row r="76" spans="1:15" hidden="1">
      <c r="A76" s="4">
        <f>IFERROR(INDEX(Tabela2[ID_Area], MATCH(B76,Tabela2[Area], 0)), "Não encontrado")</f>
        <v>1003</v>
      </c>
      <c r="B76" s="4" t="s">
        <v>92</v>
      </c>
      <c r="C76" s="4" t="s">
        <v>55</v>
      </c>
      <c r="D76" s="4">
        <f t="shared" si="6"/>
        <v>174</v>
      </c>
      <c r="E76" s="4" t="s">
        <v>147</v>
      </c>
      <c r="F76" s="4" t="str">
        <f t="shared" ca="1" si="5"/>
        <v>Concluído</v>
      </c>
      <c r="G76" s="6" cm="1">
        <f t="array" ref="G76">SUMPRODUCT(
    (Atividades!$E$2:$E$598=Metas!E76) * (Atividades!$O$2:$O$598=Metas!L76),
    Atividades!$I$2:$I$598,
    Atividades!$J$2:$J$598
) / SUMPRODUCT(
    (Atividades!$E$2:$E$598=Metas!E76) * (Atividades!$O$2:$O$598=Metas!L76),
    Atividades!$J$2:$J$598
)</f>
        <v>1</v>
      </c>
      <c r="H76" s="7">
        <v>45658</v>
      </c>
      <c r="I76" s="7">
        <v>45807</v>
      </c>
      <c r="J76" s="5">
        <f t="shared" si="7"/>
        <v>149</v>
      </c>
      <c r="K76" s="5">
        <f>IFERROR(INDEX(Tabela3[ID_Responsavel], MATCH(L76,Tabela3[[Responsáveis ]], 0)), "Não encontrado")</f>
        <v>21</v>
      </c>
      <c r="L76" s="5" t="s">
        <v>142</v>
      </c>
      <c r="M76" s="5" t="s">
        <v>19</v>
      </c>
      <c r="N76" s="163"/>
      <c r="O76" s="161" t="s">
        <v>22</v>
      </c>
    </row>
    <row r="77" spans="1:15" hidden="1">
      <c r="A77" s="4">
        <f>IFERROR(INDEX(Tabela2[ID_Area], MATCH(B77,Tabela2[Area], 0)), "Não encontrado")</f>
        <v>1003</v>
      </c>
      <c r="B77" s="4" t="s">
        <v>92</v>
      </c>
      <c r="C77" s="4" t="s">
        <v>67</v>
      </c>
      <c r="D77" s="4">
        <f t="shared" si="6"/>
        <v>175</v>
      </c>
      <c r="E77" s="4" t="s">
        <v>148</v>
      </c>
      <c r="F77" s="4" t="str">
        <f t="shared" ca="1" si="5"/>
        <v>Concluído</v>
      </c>
      <c r="G77" s="6" cm="1">
        <f t="array" ref="G77">SUMPRODUCT(
    (Atividades!$E$2:$E$598=Metas!E77) * (Atividades!$O$2:$O$598=Metas!L77),
    Atividades!$I$2:$I$598,
    Atividades!$J$2:$J$598
) / SUMPRODUCT(
    (Atividades!$E$2:$E$598=Metas!E77) * (Atividades!$O$2:$O$598=Metas!L77),
    Atividades!$J$2:$J$598
)</f>
        <v>1</v>
      </c>
      <c r="H77" s="7">
        <v>45658</v>
      </c>
      <c r="I77" s="7">
        <v>45807</v>
      </c>
      <c r="J77" s="5">
        <f t="shared" si="7"/>
        <v>149</v>
      </c>
      <c r="K77" s="5">
        <f>IFERROR(INDEX(Tabela3[ID_Responsavel], MATCH(L77,Tabela3[[Responsáveis ]], 0)), "Não encontrado")</f>
        <v>11</v>
      </c>
      <c r="L77" s="5" t="s">
        <v>149</v>
      </c>
      <c r="M77" s="5" t="s">
        <v>48</v>
      </c>
      <c r="N77" s="163"/>
      <c r="O77" s="161" t="s">
        <v>22</v>
      </c>
    </row>
    <row r="78" spans="1:15" hidden="1">
      <c r="A78" s="4">
        <f>IFERROR(INDEX(Tabela2[ID_Area], MATCH(B78,Tabela2[Area], 0)), "Não encontrado")</f>
        <v>1003</v>
      </c>
      <c r="B78" s="4" t="s">
        <v>92</v>
      </c>
      <c r="C78" s="4" t="s">
        <v>125</v>
      </c>
      <c r="D78" s="4">
        <f t="shared" si="6"/>
        <v>176</v>
      </c>
      <c r="E78" s="4" t="s">
        <v>150</v>
      </c>
      <c r="F78" s="4" t="str">
        <f t="shared" ca="1" si="5"/>
        <v>Concluído</v>
      </c>
      <c r="G78" s="6" cm="1">
        <f t="array" ref="G78">SUMPRODUCT(
    (Atividades!$E$2:$E$598=Metas!E78) * (Atividades!$O$2:$O$598=Metas!L78),
    Atividades!$I$2:$I$598,
    Atividades!$J$2:$J$598
) / SUMPRODUCT(
    (Atividades!$E$2:$E$598=Metas!E78) * (Atividades!$O$2:$O$598=Metas!L78),
    Atividades!$J$2:$J$598
)</f>
        <v>1</v>
      </c>
      <c r="H78" s="7">
        <v>45658</v>
      </c>
      <c r="I78" s="7">
        <v>45746</v>
      </c>
      <c r="J78" s="5">
        <f t="shared" si="7"/>
        <v>88</v>
      </c>
      <c r="K78" s="5">
        <f>IFERROR(INDEX(Tabela3[ID_Responsavel], MATCH(L78,Tabela3[[Responsáveis ]], 0)), "Não encontrado")</f>
        <v>11</v>
      </c>
      <c r="L78" s="5" t="s">
        <v>149</v>
      </c>
      <c r="M78" s="5" t="s">
        <v>48</v>
      </c>
      <c r="N78" s="163"/>
      <c r="O78" s="161" t="s">
        <v>22</v>
      </c>
    </row>
    <row r="79" spans="1:15" hidden="1">
      <c r="A79" s="4">
        <f>IFERROR(INDEX(Tabela2[ID_Area], MATCH(B79,Tabela2[Area], 0)), "Não encontrado")</f>
        <v>1003</v>
      </c>
      <c r="B79" s="4" t="s">
        <v>92</v>
      </c>
      <c r="C79" s="4" t="s">
        <v>125</v>
      </c>
      <c r="D79" s="4">
        <f t="shared" si="6"/>
        <v>177</v>
      </c>
      <c r="E79" s="4" t="s">
        <v>151</v>
      </c>
      <c r="F79" s="4" t="str">
        <f t="shared" ca="1" si="5"/>
        <v>Concluído</v>
      </c>
      <c r="G79" s="6" cm="1">
        <f t="array" ref="G79">SUMPRODUCT(
    (Atividades!$E$2:$E$598=Metas!E79) * (Atividades!$O$2:$O$598=Metas!L79),
    Atividades!$I$2:$I$598,
    Atividades!$J$2:$J$598
) / SUMPRODUCT(
    (Atividades!$E$2:$E$598=Metas!E79) * (Atividades!$O$2:$O$598=Metas!L79),
    Atividades!$J$2:$J$598
)</f>
        <v>1</v>
      </c>
      <c r="H79" s="7">
        <v>45658</v>
      </c>
      <c r="I79" s="7">
        <v>45716</v>
      </c>
      <c r="J79" s="5">
        <f t="shared" si="7"/>
        <v>58</v>
      </c>
      <c r="K79" s="5">
        <f>IFERROR(INDEX(Tabela3[ID_Responsavel], MATCH(L79,Tabela3[[Responsáveis ]], 0)), "Não encontrado")</f>
        <v>11</v>
      </c>
      <c r="L79" s="5" t="s">
        <v>149</v>
      </c>
      <c r="M79" s="5" t="s">
        <v>48</v>
      </c>
      <c r="N79" s="163"/>
      <c r="O79" s="161" t="s">
        <v>22</v>
      </c>
    </row>
    <row r="80" spans="1:15" hidden="1">
      <c r="A80" s="4">
        <f>IFERROR(INDEX(Tabela2[ID_Area], MATCH(B80,Tabela2[Area], 0)), "Não encontrado")</f>
        <v>1003</v>
      </c>
      <c r="B80" s="4" t="s">
        <v>92</v>
      </c>
      <c r="C80" s="4" t="s">
        <v>125</v>
      </c>
      <c r="D80" s="4">
        <f t="shared" si="6"/>
        <v>178</v>
      </c>
      <c r="E80" s="4" t="s">
        <v>152</v>
      </c>
      <c r="F80" s="4" t="str">
        <f t="shared" ca="1" si="5"/>
        <v>Atrasado</v>
      </c>
      <c r="G80" s="6" cm="1">
        <f t="array" ref="G80">SUMPRODUCT(
    (Atividades!$E$2:$E$598=Metas!E80) * (Atividades!$O$2:$O$598=Metas!L80),
    Atividades!$I$2:$I$598,
    Atividades!$J$2:$J$598
) / SUMPRODUCT(
    (Atividades!$E$2:$E$598=Metas!E80) * (Atividades!$O$2:$O$598=Metas!L80),
    Atividades!$J$2:$J$598
)</f>
        <v>0.32659574468085101</v>
      </c>
      <c r="H80" s="7">
        <v>45716</v>
      </c>
      <c r="I80" s="7">
        <v>45930</v>
      </c>
      <c r="J80" s="5">
        <f t="shared" si="7"/>
        <v>214</v>
      </c>
      <c r="K80" s="5">
        <f>IFERROR(INDEX(Tabela3[ID_Responsavel], MATCH(L80,Tabela3[[Responsáveis ]], 0)), "Não encontrado")</f>
        <v>11</v>
      </c>
      <c r="L80" s="5" t="s">
        <v>149</v>
      </c>
      <c r="M80" s="5" t="s">
        <v>48</v>
      </c>
      <c r="N80" s="163"/>
      <c r="O80" s="161" t="s">
        <v>21</v>
      </c>
    </row>
    <row r="81" spans="1:15" hidden="1">
      <c r="A81" s="4">
        <f>IFERROR(INDEX(Tabela2[ID_Area], MATCH(B81,Tabela2[Area], 0)), "Não encontrado")</f>
        <v>1003</v>
      </c>
      <c r="B81" s="4" t="s">
        <v>92</v>
      </c>
      <c r="C81" s="4" t="s">
        <v>125</v>
      </c>
      <c r="D81" s="4">
        <f t="shared" si="6"/>
        <v>179</v>
      </c>
      <c r="E81" s="4" t="s">
        <v>153</v>
      </c>
      <c r="F81" s="4" t="str">
        <f t="shared" ca="1" si="5"/>
        <v>Concluído</v>
      </c>
      <c r="G81" s="6" cm="1">
        <f t="array" ref="G81">SUMPRODUCT(
    (Atividades!$E$2:$E$598=Metas!E81) * (Atividades!$O$2:$O$598=Metas!L81),
    Atividades!$I$2:$I$598,
    Atividades!$J$2:$J$598
) / SUMPRODUCT(
    (Atividades!$E$2:$E$598=Metas!E81) * (Atividades!$O$2:$O$598=Metas!L81),
    Atividades!$J$2:$J$598
)</f>
        <v>1</v>
      </c>
      <c r="H81" s="7">
        <v>45658</v>
      </c>
      <c r="I81" s="7">
        <v>45746</v>
      </c>
      <c r="J81" s="5">
        <f t="shared" si="7"/>
        <v>88</v>
      </c>
      <c r="K81" s="5">
        <f>IFERROR(INDEX(Tabela3[ID_Responsavel], MATCH(L81,Tabela3[[Responsáveis ]], 0)), "Não encontrado")</f>
        <v>15</v>
      </c>
      <c r="L81" s="5" t="s">
        <v>154</v>
      </c>
      <c r="M81" s="5" t="s">
        <v>48</v>
      </c>
      <c r="N81" s="163"/>
      <c r="O81" s="161"/>
    </row>
    <row r="82" spans="1:15" hidden="1">
      <c r="A82" s="4">
        <f>IFERROR(INDEX(Tabela2[ID_Area], MATCH(B82,Tabela2[Area], 0)), "Não encontrado")</f>
        <v>1003</v>
      </c>
      <c r="B82" s="4" t="s">
        <v>92</v>
      </c>
      <c r="C82" s="4" t="s">
        <v>128</v>
      </c>
      <c r="D82" s="4">
        <f t="shared" si="6"/>
        <v>180</v>
      </c>
      <c r="E82" s="4" t="s">
        <v>155</v>
      </c>
      <c r="F82" s="4" t="str">
        <f t="shared" ca="1" si="5"/>
        <v>Concluído</v>
      </c>
      <c r="G82" s="6" cm="1">
        <f t="array" ref="G82">SUMPRODUCT(
    (Atividades!$E$2:$E$598=Metas!E82) * (Atividades!$O$2:$O$598=Metas!L82),
    Atividades!$I$2:$I$598,
    Atividades!$J$2:$J$598
) / SUMPRODUCT(
    (Atividades!$E$2:$E$598=Metas!E82) * (Atividades!$O$2:$O$598=Metas!L82),
    Atividades!$J$2:$J$598
)</f>
        <v>1</v>
      </c>
      <c r="H82" s="7">
        <v>45658</v>
      </c>
      <c r="I82" s="7">
        <v>45807</v>
      </c>
      <c r="J82" s="5">
        <f t="shared" si="7"/>
        <v>149</v>
      </c>
      <c r="K82" s="5">
        <f>IFERROR(INDEX(Tabela3[ID_Responsavel], MATCH(L82,Tabela3[[Responsáveis ]], 0)), "Não encontrado")</f>
        <v>15</v>
      </c>
      <c r="L82" s="5" t="s">
        <v>154</v>
      </c>
      <c r="M82" s="5" t="s">
        <v>48</v>
      </c>
      <c r="N82" s="163"/>
      <c r="O82" s="161"/>
    </row>
    <row r="83" spans="1:15" hidden="1">
      <c r="A83" s="4">
        <f>IFERROR(INDEX(Tabela2[ID_Area], MATCH(B83,Tabela2[Area], 0)), "Não encontrado")</f>
        <v>1003</v>
      </c>
      <c r="B83" s="4" t="s">
        <v>92</v>
      </c>
      <c r="C83" s="4" t="s">
        <v>128</v>
      </c>
      <c r="D83" s="4">
        <f t="shared" si="6"/>
        <v>181</v>
      </c>
      <c r="E83" s="4" t="s">
        <v>156</v>
      </c>
      <c r="F83" s="4" t="str">
        <f t="shared" ca="1" si="5"/>
        <v>Concluído</v>
      </c>
      <c r="G83" s="6" cm="1">
        <f t="array" ref="G83">SUMPRODUCT(
    (Atividades!$E$2:$E$598=Metas!E83) * (Atividades!$O$2:$O$598=Metas!L83),
    Atividades!$I$2:$I$598,
    Atividades!$J$2:$J$598
) / SUMPRODUCT(
    (Atividades!$E$2:$E$598=Metas!E83) * (Atividades!$O$2:$O$598=Metas!L83),
    Atividades!$J$2:$J$598
)</f>
        <v>1</v>
      </c>
      <c r="H83" s="7">
        <v>45658</v>
      </c>
      <c r="I83" s="7">
        <v>46022</v>
      </c>
      <c r="J83" s="5">
        <f t="shared" si="7"/>
        <v>364</v>
      </c>
      <c r="K83" s="5">
        <f>IFERROR(INDEX(Tabela3[ID_Responsavel], MATCH(L83,Tabela3[[Responsáveis ]], 0)), "Não encontrado")</f>
        <v>15</v>
      </c>
      <c r="L83" s="5" t="s">
        <v>154</v>
      </c>
      <c r="M83" s="5" t="s">
        <v>48</v>
      </c>
      <c r="N83" s="163"/>
      <c r="O83" s="161"/>
    </row>
    <row r="84" spans="1:15" hidden="1">
      <c r="A84" s="4">
        <f>IFERROR(INDEX(Tabela2[ID_Area], MATCH(B84,Tabela2[Area], 0)), "Não encontrado")</f>
        <v>1003</v>
      </c>
      <c r="B84" s="4" t="s">
        <v>92</v>
      </c>
      <c r="C84" s="4" t="s">
        <v>55</v>
      </c>
      <c r="D84" s="4">
        <f t="shared" si="6"/>
        <v>182</v>
      </c>
      <c r="E84" s="4" t="s">
        <v>157</v>
      </c>
      <c r="F84" s="4" t="str">
        <f t="shared" ca="1" si="5"/>
        <v>Concluído</v>
      </c>
      <c r="G84" s="6" cm="1">
        <f t="array" ref="G84">SUMPRODUCT(
    (Atividades!$E$2:$E$598=Metas!E84) * (Atividades!$O$2:$O$598=Metas!L84),
    Atividades!$I$2:$I$598,
    Atividades!$J$2:$J$598
) / SUMPRODUCT(
    (Atividades!$E$2:$E$598=Metas!E84) * (Atividades!$O$2:$O$598=Metas!L84),
    Atividades!$J$2:$J$598
)</f>
        <v>1</v>
      </c>
      <c r="H84" s="7">
        <v>45658</v>
      </c>
      <c r="I84" s="7">
        <v>45777</v>
      </c>
      <c r="J84" s="5">
        <f t="shared" si="7"/>
        <v>119</v>
      </c>
      <c r="K84" s="5">
        <f>IFERROR(INDEX(Tabela3[ID_Responsavel], MATCH(L84,Tabela3[[Responsáveis ]], 0)), "Não encontrado")</f>
        <v>16</v>
      </c>
      <c r="L84" s="5" t="s">
        <v>158</v>
      </c>
      <c r="M84" s="5" t="s">
        <v>48</v>
      </c>
      <c r="N84" s="163"/>
      <c r="O84" s="161" t="s">
        <v>22</v>
      </c>
    </row>
    <row r="85" spans="1:15" hidden="1">
      <c r="A85" s="4">
        <f>IFERROR(INDEX(Tabela2[ID_Area], MATCH(B85,Tabela2[Area], 0)), "Não encontrado")</f>
        <v>1003</v>
      </c>
      <c r="B85" s="4" t="s">
        <v>92</v>
      </c>
      <c r="C85" s="4" t="s">
        <v>128</v>
      </c>
      <c r="D85" s="4">
        <f t="shared" si="6"/>
        <v>183</v>
      </c>
      <c r="E85" s="4" t="s">
        <v>159</v>
      </c>
      <c r="F85" s="4" t="str">
        <f t="shared" ca="1" si="5"/>
        <v>Concluído</v>
      </c>
      <c r="G85" s="173" cm="1">
        <f t="array" ref="G85">SUMPRODUCT(
    (Atividades!$E$2:$E$598=Metas!E85) * (Atividades!$O$2:$O$598=Metas!L85),
    Atividades!$I$2:$I$598,
    Atividades!$J$2:$J$598
) / SUMPRODUCT(
    (Atividades!$E$2:$E$598=Metas!E85) * (Atividades!$O$2:$O$598=Metas!L85),
    Atividades!$J$2:$J$598
)</f>
        <v>1</v>
      </c>
      <c r="H85" s="7">
        <v>45658</v>
      </c>
      <c r="I85" s="7">
        <v>45777</v>
      </c>
      <c r="J85" s="5">
        <f t="shared" si="7"/>
        <v>119</v>
      </c>
      <c r="K85" s="5">
        <f>IFERROR(INDEX(Tabela3[ID_Responsavel], MATCH(L85,Tabela3[[Responsáveis ]], 0)), "Não encontrado")</f>
        <v>16</v>
      </c>
      <c r="L85" s="5" t="s">
        <v>158</v>
      </c>
      <c r="M85" s="5" t="s">
        <v>48</v>
      </c>
      <c r="N85" s="163"/>
      <c r="O85" s="161" t="s">
        <v>22</v>
      </c>
    </row>
    <row r="86" spans="1:15" hidden="1">
      <c r="A86" s="4">
        <f>IFERROR(INDEX(Tabela2[ID_Area], MATCH(B86,Tabela2[Area], 0)), "Não encontrado")</f>
        <v>1003</v>
      </c>
      <c r="B86" s="4" t="s">
        <v>92</v>
      </c>
      <c r="C86" s="4" t="s">
        <v>67</v>
      </c>
      <c r="D86" s="4">
        <f t="shared" si="6"/>
        <v>184</v>
      </c>
      <c r="E86" s="4" t="s">
        <v>160</v>
      </c>
      <c r="F86" s="4" t="str">
        <f t="shared" ca="1" si="5"/>
        <v>Concluído</v>
      </c>
      <c r="G86" s="173" cm="1">
        <f t="array" ref="G86">SUMPRODUCT(
    (Atividades!$E$2:$E$598=Metas!E86) * (Atividades!$O$2:$O$598=Metas!L86),
    Atividades!$I$2:$I$598,
    Atividades!$J$2:$J$598
) / SUMPRODUCT(
    (Atividades!$E$2:$E$598=Metas!E86) * (Atividades!$O$2:$O$598=Metas!L86),
    Atividades!$J$2:$J$598
)</f>
        <v>1</v>
      </c>
      <c r="H86" s="7">
        <v>45658</v>
      </c>
      <c r="I86" s="7">
        <v>45807</v>
      </c>
      <c r="J86" s="5">
        <f t="shared" si="7"/>
        <v>149</v>
      </c>
      <c r="K86" s="5">
        <f>IFERROR(INDEX(Tabela3[ID_Responsavel], MATCH(L86,Tabela3[[Responsáveis ]], 0)), "Não encontrado")</f>
        <v>16</v>
      </c>
      <c r="L86" s="5" t="s">
        <v>158</v>
      </c>
      <c r="M86" s="5" t="s">
        <v>48</v>
      </c>
      <c r="N86" s="163"/>
      <c r="O86" s="161" t="s">
        <v>22</v>
      </c>
    </row>
    <row r="87" spans="1:15" hidden="1">
      <c r="A87" s="4">
        <f>IFERROR(INDEX(Tabela2[ID_Area], MATCH(B87,Tabela2[Area], 0)), "Não encontrado")</f>
        <v>1003</v>
      </c>
      <c r="B87" s="4" t="s">
        <v>92</v>
      </c>
      <c r="C87" s="4" t="s">
        <v>67</v>
      </c>
      <c r="D87" s="4">
        <f t="shared" si="6"/>
        <v>185</v>
      </c>
      <c r="E87" s="4" t="s">
        <v>161</v>
      </c>
      <c r="F87" s="4" t="str">
        <f t="shared" ca="1" si="5"/>
        <v>Concluído</v>
      </c>
      <c r="G87" s="173" cm="1">
        <f t="array" ref="G87">SUMPRODUCT(
    (Atividades!$E$2:$E$598=Metas!E87) * (Atividades!$O$2:$O$598=Metas!L87),
    Atividades!$I$2:$I$598,
    Atividades!$J$2:$J$598
) / SUMPRODUCT(
    (Atividades!$E$2:$E$598=Metas!E87) * (Atividades!$O$2:$O$598=Metas!L87),
    Atividades!$J$2:$J$598
)</f>
        <v>1</v>
      </c>
      <c r="H87" s="7">
        <v>45658</v>
      </c>
      <c r="I87" s="7">
        <v>45991</v>
      </c>
      <c r="J87" s="5">
        <f t="shared" si="7"/>
        <v>333</v>
      </c>
      <c r="K87" s="5">
        <f>IFERROR(INDEX(Tabela3[ID_Responsavel], MATCH(L87,Tabela3[[Responsáveis ]], 0)), "Não encontrado")</f>
        <v>16</v>
      </c>
      <c r="L87" s="5" t="s">
        <v>158</v>
      </c>
      <c r="M87" s="5" t="s">
        <v>48</v>
      </c>
      <c r="N87" s="163"/>
      <c r="O87" s="161" t="s">
        <v>22</v>
      </c>
    </row>
    <row r="88" spans="1:15" hidden="1">
      <c r="A88" s="4">
        <f>IFERROR(INDEX(Tabela2[ID_Area], MATCH(B88,Tabela2[Area], 0)), "Não encontrado")</f>
        <v>1003</v>
      </c>
      <c r="B88" s="4" t="s">
        <v>92</v>
      </c>
      <c r="C88" s="4" t="s">
        <v>67</v>
      </c>
      <c r="D88" s="4">
        <f t="shared" si="6"/>
        <v>186</v>
      </c>
      <c r="E88" s="4" t="s">
        <v>162</v>
      </c>
      <c r="F88" s="4" t="str">
        <f t="shared" ca="1" si="5"/>
        <v>Concluído</v>
      </c>
      <c r="G88" s="173" cm="1">
        <f t="array" ref="G88">SUMPRODUCT(
    (Atividades!$E$2:$E$598=Metas!E88) * (Atividades!$O$2:$O$598=Metas!L88),
    Atividades!$I$2:$I$598,
    Atividades!$J$2:$J$598
) / SUMPRODUCT(
    (Atividades!$E$2:$E$598=Metas!E88) * (Atividades!$O$2:$O$598=Metas!L88),
    Atividades!$J$2:$J$598
)</f>
        <v>1</v>
      </c>
      <c r="H88" s="7">
        <v>45658</v>
      </c>
      <c r="I88" s="7">
        <v>45731</v>
      </c>
      <c r="J88" s="5">
        <f t="shared" si="7"/>
        <v>73</v>
      </c>
      <c r="K88" s="5">
        <f>IFERROR(INDEX(Tabela3[ID_Responsavel], MATCH(L88,Tabela3[[Responsáveis ]], 0)), "Não encontrado")</f>
        <v>16</v>
      </c>
      <c r="L88" s="5" t="s">
        <v>158</v>
      </c>
      <c r="M88" s="5" t="s">
        <v>48</v>
      </c>
      <c r="N88" s="163"/>
      <c r="O88" s="161" t="s">
        <v>22</v>
      </c>
    </row>
    <row r="89" spans="1:15" hidden="1">
      <c r="A89" s="4">
        <f>IFERROR(INDEX(Tabela2[ID_Area], MATCH(B89,Tabela2[Area], 0)), "Não encontrado")</f>
        <v>1003</v>
      </c>
      <c r="B89" s="4" t="s">
        <v>92</v>
      </c>
      <c r="C89" s="4" t="s">
        <v>125</v>
      </c>
      <c r="D89" s="4">
        <f t="shared" si="6"/>
        <v>187</v>
      </c>
      <c r="E89" s="4" t="s">
        <v>163</v>
      </c>
      <c r="F89" s="4" t="str">
        <f t="shared" ca="1" si="5"/>
        <v>Concluído</v>
      </c>
      <c r="G89" s="173" cm="1">
        <f t="array" ref="G89">SUMPRODUCT(
    (Atividades!$E$2:$E$598=Metas!E89) * (Atividades!$O$2:$O$598=Metas!L89),
    Atividades!$I$2:$I$598,
    Atividades!$J$2:$J$598
) / SUMPRODUCT(
    (Atividades!$E$2:$E$598=Metas!E89) * (Atividades!$O$2:$O$598=Metas!L89),
    Atividades!$J$2:$J$598
)</f>
        <v>1</v>
      </c>
      <c r="H89" s="7">
        <v>45658</v>
      </c>
      <c r="I89" s="7">
        <v>46022</v>
      </c>
      <c r="J89" s="5">
        <f t="shared" si="7"/>
        <v>364</v>
      </c>
      <c r="K89" s="5">
        <f>IFERROR(INDEX(Tabela3[ID_Responsavel], MATCH(L89,Tabela3[[Responsáveis ]], 0)), "Não encontrado")</f>
        <v>11</v>
      </c>
      <c r="L89" s="5" t="s">
        <v>149</v>
      </c>
      <c r="M89" s="5" t="s">
        <v>48</v>
      </c>
      <c r="N89" s="163"/>
      <c r="O89" s="161" t="s">
        <v>22</v>
      </c>
    </row>
    <row r="90" spans="1:15" hidden="1">
      <c r="A90" s="4">
        <f>IFERROR(INDEX(Tabela2[ID_Area], MATCH(B90,Tabela2[Area], 0)), "Não encontrado")</f>
        <v>1003</v>
      </c>
      <c r="B90" s="4" t="s">
        <v>92</v>
      </c>
      <c r="C90" s="4" t="s">
        <v>125</v>
      </c>
      <c r="D90" s="4">
        <f t="shared" si="6"/>
        <v>188</v>
      </c>
      <c r="E90" s="4" t="s">
        <v>164</v>
      </c>
      <c r="F90" s="4" t="str">
        <f t="shared" ca="1" si="5"/>
        <v>Concluído</v>
      </c>
      <c r="G90" s="173" cm="1">
        <f t="array" ref="G90">SUMPRODUCT(
    (Atividades!$E$2:$E$598=Metas!E90) * (Atividades!$O$2:$O$598=Metas!L90),
    Atividades!$I$2:$I$598,
    Atividades!$J$2:$J$598
) / SUMPRODUCT(
    (Atividades!$E$2:$E$598=Metas!E90) * (Atividades!$O$2:$O$598=Metas!L90),
    Atividades!$J$2:$J$598
)</f>
        <v>1</v>
      </c>
      <c r="H90" s="7">
        <v>45658</v>
      </c>
      <c r="I90" s="7">
        <v>46022</v>
      </c>
      <c r="J90" s="5">
        <f t="shared" si="7"/>
        <v>364</v>
      </c>
      <c r="K90" s="5">
        <f>IFERROR(INDEX(Tabela3[ID_Responsavel], MATCH(L90,Tabela3[[Responsáveis ]], 0)), "Não encontrado")</f>
        <v>15</v>
      </c>
      <c r="L90" s="5" t="s">
        <v>154</v>
      </c>
      <c r="M90" s="5" t="s">
        <v>48</v>
      </c>
      <c r="N90" s="163"/>
      <c r="O90" s="161"/>
    </row>
    <row r="91" spans="1:15" hidden="1">
      <c r="A91" s="4">
        <f>IFERROR(INDEX(Tabela2[ID_Area], MATCH(B91,Tabela2[Area], 0)), "Não encontrado")</f>
        <v>1003</v>
      </c>
      <c r="B91" s="4" t="s">
        <v>92</v>
      </c>
      <c r="C91" s="4" t="s">
        <v>67</v>
      </c>
      <c r="D91" s="4">
        <f t="shared" si="6"/>
        <v>189</v>
      </c>
      <c r="E91" s="4" t="s">
        <v>165</v>
      </c>
      <c r="F91" s="4" t="str">
        <f t="shared" ca="1" si="5"/>
        <v>Concluído</v>
      </c>
      <c r="G91" s="173" cm="1">
        <f t="array" ref="G91">SUMPRODUCT(
    (Atividades!$E$2:$E$598=Metas!E91) * (Atividades!$O$2:$O$598=Metas!L91),
    Atividades!$I$2:$I$598,
    Atividades!$J$2:$J$598
) / SUMPRODUCT(
    (Atividades!$E$2:$E$598=Metas!E91) * (Atividades!$O$2:$O$598=Metas!L91),
    Atividades!$J$2:$J$598
)</f>
        <v>1</v>
      </c>
      <c r="H91" s="7">
        <v>45658</v>
      </c>
      <c r="I91" s="7">
        <v>46022</v>
      </c>
      <c r="J91" s="5">
        <f t="shared" si="7"/>
        <v>364</v>
      </c>
      <c r="K91" s="5">
        <f>IFERROR(INDEX(Tabela3[ID_Responsavel], MATCH(L91,Tabela3[[Responsáveis ]], 0)), "Não encontrado")</f>
        <v>8</v>
      </c>
      <c r="L91" s="5" t="s">
        <v>94</v>
      </c>
      <c r="M91" s="5" t="s">
        <v>48</v>
      </c>
      <c r="N91" s="163"/>
      <c r="O91" s="161"/>
    </row>
    <row r="92" spans="1:15" hidden="1">
      <c r="A92" s="4">
        <f>IFERROR(INDEX(Tabela2[ID_Area], MATCH(B92,Tabela2[Area], 0)), "Não encontrado")</f>
        <v>1000</v>
      </c>
      <c r="B92" s="4" t="s">
        <v>54</v>
      </c>
      <c r="C92" s="4" t="s">
        <v>62</v>
      </c>
      <c r="D92" s="4">
        <f t="shared" si="6"/>
        <v>190</v>
      </c>
      <c r="E92" s="4" t="s">
        <v>166</v>
      </c>
      <c r="F92" s="4" t="str">
        <f t="shared" ca="1" si="5"/>
        <v>Concluído</v>
      </c>
      <c r="G92" s="6" cm="1">
        <f t="array" ref="G92">SUMPRODUCT(
    (Atividades!$E$2:$E$598=Metas!E92) * (Atividades!$O$2:$O$598=Metas!L92),
    Atividades!$I$2:$I$598,
    Atividades!$J$2:$J$598
) / SUMPRODUCT(
    (Atividades!$E$2:$E$598=Metas!E92) * (Atividades!$O$2:$O$598=Metas!L92),
    Atividades!$J$2:$J$598
)</f>
        <v>1</v>
      </c>
      <c r="H92" s="7">
        <v>45658</v>
      </c>
      <c r="I92" s="7">
        <v>45993</v>
      </c>
      <c r="J92" s="5">
        <f t="shared" si="7"/>
        <v>335</v>
      </c>
      <c r="K92" s="5">
        <f>IFERROR(INDEX(Tabela3[ID_Responsavel], MATCH(L92,Tabela3[[Responsáveis ]], 0)), "Não encontrado")</f>
        <v>5</v>
      </c>
      <c r="L92" s="5" t="s">
        <v>167</v>
      </c>
      <c r="M92" s="5" t="s">
        <v>48</v>
      </c>
      <c r="N92" s="163"/>
      <c r="O92" s="161"/>
    </row>
    <row r="93" spans="1:15" hidden="1">
      <c r="A93" s="4">
        <f>IFERROR(INDEX(Tabela2[ID_Area], MATCH(B93,Tabela2[Area], 0)), "Não encontrado")</f>
        <v>1000</v>
      </c>
      <c r="B93" s="4" t="s">
        <v>54</v>
      </c>
      <c r="C93" s="4" t="s">
        <v>128</v>
      </c>
      <c r="D93" s="4">
        <f t="shared" si="6"/>
        <v>191</v>
      </c>
      <c r="E93" s="4" t="s">
        <v>168</v>
      </c>
      <c r="F93" s="4" t="str">
        <f t="shared" ca="1" si="5"/>
        <v>Concluído</v>
      </c>
      <c r="G93" s="6" cm="1">
        <f t="array" ref="G93">SUMPRODUCT(
    (Atividades!$E$2:$E$598=Metas!E93) * (Atividades!$O$2:$O$598=Metas!L93),
    Atividades!$I$2:$I$598,
    Atividades!$J$2:$J$598
) / SUMPRODUCT(
    (Atividades!$E$2:$E$598=Metas!E93) * (Atividades!$O$2:$O$598=Metas!L93),
    Atividades!$J$2:$J$598
)</f>
        <v>1</v>
      </c>
      <c r="H93" s="7">
        <v>45659</v>
      </c>
      <c r="I93" s="7">
        <v>45994</v>
      </c>
      <c r="J93" s="5">
        <f t="shared" si="7"/>
        <v>335</v>
      </c>
      <c r="K93" s="5">
        <f>IFERROR(INDEX(Tabela3[ID_Responsavel], MATCH(L93,Tabela3[[Responsáveis ]], 0)), "Não encontrado")</f>
        <v>5</v>
      </c>
      <c r="L93" s="5" t="s">
        <v>167</v>
      </c>
      <c r="M93" s="5" t="s">
        <v>48</v>
      </c>
      <c r="N93" s="163"/>
      <c r="O93" s="161"/>
    </row>
    <row r="94" spans="1:15" ht="15" hidden="1" customHeight="1">
      <c r="A94" s="4">
        <f>IFERROR(INDEX(Tabela2[ID_Area], MATCH(B94,Tabela2[Area], 0)), "Não encontrado")</f>
        <v>1000</v>
      </c>
      <c r="B94" s="4" t="s">
        <v>54</v>
      </c>
      <c r="C94" s="4" t="s">
        <v>128</v>
      </c>
      <c r="D94" s="4">
        <f t="shared" si="6"/>
        <v>192</v>
      </c>
      <c r="E94" s="4" t="s">
        <v>169</v>
      </c>
      <c r="F94" s="4" t="str">
        <f ca="1">IF(G94=1,"Concluído",
   IF(TODAY()&gt;I94,"Atrasado",
      IF(AND(G94=0,TODAY()&lt;I94),"Não iniciado",
         "Em Andamento")))</f>
        <v>Concluído</v>
      </c>
      <c r="G94" s="6" cm="1">
        <f t="array" ref="G94">SUMPRODUCT(
    (Atividades!$E$2:$E$598=Metas!E94) * (Atividades!$O$2:$O$598=Metas!L94),
    Atividades!$I$2:$I$598,
    Atividades!$J$2:$J$598
) / SUMPRODUCT(
    (Atividades!$E$2:$E$598=Metas!E94) * (Atividades!$O$2:$O$598=Metas!L94),
    Atividades!$J$2:$J$598
)</f>
        <v>1</v>
      </c>
      <c r="H94" s="7">
        <v>45659</v>
      </c>
      <c r="I94" s="7">
        <v>45994</v>
      </c>
      <c r="J94" s="5">
        <f t="shared" si="7"/>
        <v>335</v>
      </c>
      <c r="K94" s="5">
        <f>IFERROR(INDEX(Tabela3[ID_Responsavel], MATCH(L94,Tabela3[[Responsáveis ]], 0)), "Não encontrado")</f>
        <v>5</v>
      </c>
      <c r="L94" s="5" t="s">
        <v>167</v>
      </c>
      <c r="M94" s="5" t="s">
        <v>48</v>
      </c>
      <c r="N94" s="163"/>
      <c r="O94" s="161"/>
    </row>
    <row r="95" spans="1:15" ht="15" hidden="1" customHeight="1">
      <c r="A95" s="4">
        <f>IFERROR(INDEX(Tabela2[ID_Area], MATCH(B95,Tabela2[Area], 0)), "Não encontrado")</f>
        <v>1000</v>
      </c>
      <c r="B95" s="4" t="s">
        <v>54</v>
      </c>
      <c r="C95" s="4" t="s">
        <v>128</v>
      </c>
      <c r="D95" s="4">
        <f t="shared" si="6"/>
        <v>193</v>
      </c>
      <c r="E95" s="4" t="s">
        <v>170</v>
      </c>
      <c r="F95" s="4" t="str">
        <f t="shared" ref="F95" ca="1" si="8">IF(G95=1,"Concluído",
   IF(TODAY()&gt;I95,"Atrasado",
      IF(AND(G95=0,TODAY()&lt;I95),"Não iniciado",
         "Em Andamento")))</f>
        <v>Concluído</v>
      </c>
      <c r="G95" s="6" cm="1">
        <f t="array" ref="G95">SUMPRODUCT(
    (Atividades!$E$2:$E$598=Metas!E95) * (Atividades!$O$2:$O$598=Metas!L95),
    Atividades!$I$2:$I$598,
    Atividades!$J$2:$J$598
) / SUMPRODUCT(
    (Atividades!$E$2:$E$598=Metas!E95) * (Atividades!$O$2:$O$598=Metas!L95),
    Atividades!$J$2:$J$598
)</f>
        <v>1</v>
      </c>
      <c r="H95" s="7">
        <v>45659</v>
      </c>
      <c r="I95" s="7">
        <v>45994</v>
      </c>
      <c r="J95" s="5">
        <f t="shared" si="7"/>
        <v>335</v>
      </c>
      <c r="K95" s="5">
        <f>IFERROR(INDEX(Tabela3[ID_Responsavel], MATCH(L95,Tabela3[[Responsáveis ]], 0)), "Não encontrado")</f>
        <v>5</v>
      </c>
      <c r="L95" s="5" t="s">
        <v>167</v>
      </c>
      <c r="M95" s="5" t="s">
        <v>48</v>
      </c>
      <c r="N95" s="163"/>
      <c r="O95" s="161"/>
    </row>
    <row r="96" spans="1:15" ht="15" hidden="1" customHeight="1">
      <c r="A96" s="4">
        <f>IFERROR(INDEX(Tabela2[ID_Area], MATCH(B96,Tabela2[Area], 0)), "Não encontrado")</f>
        <v>1001</v>
      </c>
      <c r="B96" s="4" t="s">
        <v>66</v>
      </c>
      <c r="C96" s="4" t="s">
        <v>55</v>
      </c>
      <c r="D96" s="4">
        <f t="shared" si="6"/>
        <v>194</v>
      </c>
      <c r="E96" s="4" t="s">
        <v>171</v>
      </c>
      <c r="F96" s="4" t="str">
        <f t="shared" ref="F96:F101" ca="1" si="9">IF(G96=1,"Concluído",
   IF(TODAY()&gt;I96,"Atrasado",
      IF(AND(G96=0,TODAY()&lt;I96),"Não iniciado",
         "Em Andamento")))</f>
        <v>Concluído</v>
      </c>
      <c r="G96" s="6" cm="1">
        <f t="array" ref="G96">SUMPRODUCT(
    (Atividades!$E$2:$E$598=Metas!E96) * (Atividades!$O$2:$O$598=Metas!L96),
    Atividades!$I$2:$I$598,
    Atividades!$J$2:$J$598
) / SUMPRODUCT(
    (Atividades!$E$2:$E$598=Metas!E96) * (Atividades!$O$2:$O$598=Metas!L96),
    Atividades!$J$2:$J$598
)</f>
        <v>1</v>
      </c>
      <c r="H96" s="34">
        <v>45719</v>
      </c>
      <c r="I96" s="34">
        <v>45847</v>
      </c>
      <c r="J96" s="5">
        <f t="shared" si="7"/>
        <v>128</v>
      </c>
      <c r="K96" s="5">
        <f>IFERROR(INDEX(Tabela3[ID_Responsavel], MATCH(L96,Tabela3[[Responsáveis ]], 0)), "Não encontrado")</f>
        <v>10</v>
      </c>
      <c r="L96" s="5" t="s">
        <v>115</v>
      </c>
      <c r="M96" s="5" t="s">
        <v>48</v>
      </c>
      <c r="N96" s="163"/>
      <c r="O96" s="161" t="s">
        <v>22</v>
      </c>
    </row>
    <row r="97" spans="1:15" ht="15" customHeight="1">
      <c r="A97" s="4">
        <f>IFERROR(INDEX(Tabela2[ID_Area], MATCH(B97,Tabela2[Area], 0)), "Não encontrado")</f>
        <v>1004</v>
      </c>
      <c r="B97" s="4" t="s">
        <v>15</v>
      </c>
      <c r="C97" s="4" t="s">
        <v>172</v>
      </c>
      <c r="D97" s="4">
        <f t="shared" si="6"/>
        <v>195</v>
      </c>
      <c r="E97" s="4" t="s">
        <v>173</v>
      </c>
      <c r="F97" s="4" t="str">
        <f t="shared" ca="1" si="9"/>
        <v>Concluído</v>
      </c>
      <c r="G97" s="6" cm="1">
        <f t="array" ref="G97">SUMPRODUCT(
    (Atividades!$E$2:$E$598=Metas!E97) * (Atividades!$O$2:$O$598=Metas!L97),
    Atividades!$I$2:$I$598,
    Atividades!$J$2:$J$598
) / SUMPRODUCT(
    (Atividades!$E$2:$E$598=Metas!E97) * (Atividades!$O$2:$O$598=Metas!L97),
    Atividades!$J$2:$J$598
)</f>
        <v>1</v>
      </c>
      <c r="H97" s="34">
        <v>45769</v>
      </c>
      <c r="I97" s="34">
        <v>46022</v>
      </c>
      <c r="J97" s="5">
        <f t="shared" si="7"/>
        <v>253</v>
      </c>
      <c r="K97" s="5">
        <f>IFERROR(INDEX(Tabela3[ID_Responsavel], MATCH(L97,Tabela3[[Responsáveis ]], 0)), "Não encontrado")</f>
        <v>27</v>
      </c>
      <c r="L97" s="5" t="s">
        <v>174</v>
      </c>
      <c r="M97" s="5" t="s">
        <v>31</v>
      </c>
      <c r="N97" s="163"/>
      <c r="O97" s="161" t="s">
        <v>22</v>
      </c>
    </row>
    <row r="98" spans="1:15" ht="15" customHeight="1">
      <c r="A98" s="4">
        <f>IFERROR(INDEX(Tabela2[ID_Area], MATCH(B98,Tabela2[Area], 0)), "Não encontrado")</f>
        <v>1004</v>
      </c>
      <c r="B98" s="4" t="s">
        <v>15</v>
      </c>
      <c r="C98" s="4" t="s">
        <v>175</v>
      </c>
      <c r="D98" s="4">
        <f t="shared" si="6"/>
        <v>196</v>
      </c>
      <c r="E98" s="4" t="s">
        <v>176</v>
      </c>
      <c r="F98" s="4" t="str">
        <f ca="1">IF(G98=1,"Concluído",
   IF(TODAY()&gt;I98,"Atrasado",
      IF(AND(G98=0,TODAY()&lt;I98),"Não iniciado",
         "Em Andamento")))</f>
        <v>Atrasado</v>
      </c>
      <c r="G98" s="6" cm="1">
        <f t="array" ref="G98">SUMPRODUCT(
    (Atividades!$E$2:$E$598=Metas!E98) * (Atividades!$O$2:$O$598=Metas!L98),
    Atividades!$I$2:$I$598,
    Atividades!$J$2:$J$598
) / SUMPRODUCT(
    (Atividades!$E$2:$E$598=Metas!E98) * (Atividades!$O$2:$O$598=Metas!L98),
    Atividades!$J$2:$J$598
)</f>
        <v>0.90827067669172923</v>
      </c>
      <c r="H98" s="34">
        <v>45778</v>
      </c>
      <c r="I98" s="34">
        <v>46022</v>
      </c>
      <c r="J98" s="5">
        <f t="shared" si="7"/>
        <v>244</v>
      </c>
      <c r="K98" s="5">
        <f>IFERROR(INDEX(Tabela3[ID_Responsavel], MATCH(L98,Tabela3[[Responsáveis ]], 0)), "Não encontrado")</f>
        <v>27</v>
      </c>
      <c r="L98" s="5" t="s">
        <v>174</v>
      </c>
      <c r="M98" s="5" t="s">
        <v>31</v>
      </c>
      <c r="N98" s="163" t="s">
        <v>177</v>
      </c>
      <c r="O98" s="161" t="s">
        <v>22</v>
      </c>
    </row>
    <row r="99" spans="1:15" ht="15" customHeight="1">
      <c r="A99" s="4">
        <f>IFERROR(INDEX(Tabela2[ID_Area], MATCH(B99,Tabela2[Area], 0)), "Não encontrado")</f>
        <v>1004</v>
      </c>
      <c r="B99" s="4" t="s">
        <v>15</v>
      </c>
      <c r="C99" s="4" t="s">
        <v>178</v>
      </c>
      <c r="D99" s="4">
        <f t="shared" si="6"/>
        <v>197</v>
      </c>
      <c r="E99" s="4" t="s">
        <v>179</v>
      </c>
      <c r="F99" s="4" t="str">
        <f t="shared" ca="1" si="9"/>
        <v>Concluído</v>
      </c>
      <c r="G99" s="6" cm="1">
        <f t="array" ref="G99">SUMPRODUCT(
    (Atividades!$E$2:$E$598=Metas!E99) * (Atividades!$O$2:$O$598=Metas!L99),
    Atividades!$I$2:$I$598,
    Atividades!$J$2:$J$598
) / SUMPRODUCT(
    (Atividades!$E$2:$E$598=Metas!E99) * (Atividades!$O$2:$O$598=Metas!L99),
    Atividades!$J$2:$J$598
)</f>
        <v>1</v>
      </c>
      <c r="H99" s="34">
        <v>45748</v>
      </c>
      <c r="I99" s="34">
        <v>46013</v>
      </c>
      <c r="J99" s="5">
        <f t="shared" si="7"/>
        <v>265</v>
      </c>
      <c r="K99" s="5">
        <f>IFERROR(INDEX(Tabela3[ID_Responsavel], MATCH(L99,Tabela3[[Responsáveis ]], 0)), "Não encontrado")</f>
        <v>27</v>
      </c>
      <c r="L99" s="5" t="s">
        <v>174</v>
      </c>
      <c r="M99" s="5" t="s">
        <v>31</v>
      </c>
      <c r="N99" s="163"/>
      <c r="O99" s="161" t="s">
        <v>22</v>
      </c>
    </row>
    <row r="100" spans="1:15" ht="15" customHeight="1">
      <c r="A100" s="4">
        <f>IFERROR(INDEX(Tabela2[ID_Area], MATCH(B100,Tabela2[Area], 0)), "Não encontrado")</f>
        <v>1004</v>
      </c>
      <c r="B100" s="4" t="s">
        <v>15</v>
      </c>
      <c r="C100" s="4" t="s">
        <v>24</v>
      </c>
      <c r="D100" s="4">
        <f t="shared" si="6"/>
        <v>198</v>
      </c>
      <c r="E100" s="4" t="s">
        <v>180</v>
      </c>
      <c r="F100" s="4" t="str">
        <f t="shared" ca="1" si="9"/>
        <v>Atrasado</v>
      </c>
      <c r="G100" s="6" cm="1">
        <f t="array" ref="G100">SUMPRODUCT(
    (Atividades!$E$2:$E$598=Metas!E100) * (Atividades!$O$2:$O$598=Metas!L100),
    Atividades!$I$2:$I$598,
    Atividades!$J$2:$J$598
) / SUMPRODUCT(
    (Atividades!$E$2:$E$598=Metas!E100) * (Atividades!$O$2:$O$598=Metas!L100),
    Atividades!$J$2:$J$598
)</f>
        <v>0.79896907216494839</v>
      </c>
      <c r="H100" s="34">
        <v>45911</v>
      </c>
      <c r="I100" s="34">
        <v>46013</v>
      </c>
      <c r="J100" s="5">
        <f t="shared" si="7"/>
        <v>102</v>
      </c>
      <c r="K100" s="5">
        <f>IFERROR(INDEX(Tabela3[ID_Responsavel], MATCH(L100,Tabela3[[Responsáveis ]], 0)), "Não encontrado")</f>
        <v>27</v>
      </c>
      <c r="L100" s="5" t="s">
        <v>174</v>
      </c>
      <c r="M100" s="5" t="s">
        <v>31</v>
      </c>
      <c r="N100" s="163" t="s">
        <v>181</v>
      </c>
      <c r="O100" s="161" t="s">
        <v>21</v>
      </c>
    </row>
    <row r="101" spans="1:15" ht="15" customHeight="1">
      <c r="A101" s="4">
        <f>IFERROR(INDEX(Tabela2[ID_Area], MATCH(B101,Tabela2[Area], 0)), "Não encontrado")</f>
        <v>1004</v>
      </c>
      <c r="B101" s="4" t="s">
        <v>15</v>
      </c>
      <c r="C101" s="4" t="s">
        <v>16</v>
      </c>
      <c r="D101" s="4">
        <f t="shared" si="6"/>
        <v>199</v>
      </c>
      <c r="E101" s="4" t="s">
        <v>182</v>
      </c>
      <c r="F101" s="4" t="str">
        <f t="shared" ca="1" si="9"/>
        <v>Concluído</v>
      </c>
      <c r="G101" s="6" cm="1">
        <f t="array" ref="G101">SUMPRODUCT(
    (Atividades!$E$2:$E$598=Metas!E101) * (Atividades!$O$2:$O$598=Metas!L101),
    Atividades!$I$2:$I$598,
    Atividades!$J$2:$J$598
) / SUMPRODUCT(
    (Atividades!$E$2:$E$598=Metas!E101) * (Atividades!$O$2:$O$598=Metas!L101),
    Atividades!$J$2:$J$598
)</f>
        <v>1</v>
      </c>
      <c r="H101" s="34">
        <v>45659</v>
      </c>
      <c r="I101" s="34">
        <v>46022</v>
      </c>
      <c r="J101" s="5">
        <f t="shared" si="7"/>
        <v>363</v>
      </c>
      <c r="K101" s="5">
        <f>IFERROR(INDEX(Tabela3[ID_Responsavel], MATCH(L101,Tabela3[[Responsáveis ]], 0)), "Não encontrado")</f>
        <v>27</v>
      </c>
      <c r="L101" s="5" t="s">
        <v>174</v>
      </c>
      <c r="M101" s="5" t="s">
        <v>31</v>
      </c>
      <c r="N101" s="163"/>
      <c r="O101" s="161" t="s">
        <v>22</v>
      </c>
    </row>
    <row r="102" spans="1:15" ht="15" customHeight="1">
      <c r="A102" s="4">
        <f>IFERROR(INDEX(Tabela2[ID_Area], MATCH(B102,Tabela2[Area], 0)), "Não encontrado")</f>
        <v>1004</v>
      </c>
      <c r="B102" s="4" t="s">
        <v>15</v>
      </c>
      <c r="C102" s="4" t="s">
        <v>16</v>
      </c>
      <c r="D102" s="4">
        <f t="shared" si="6"/>
        <v>200</v>
      </c>
      <c r="E102" s="4" t="s">
        <v>183</v>
      </c>
      <c r="F102" s="4" t="str">
        <f ca="1">IF(G102=1,"Concluído",
   IF(TODAY()&gt;I102,"Atrasado",
      IF(AND(G102=0,TODAY()&lt;I102),"Não iniciado",
         "Em Andamento")))</f>
        <v>Concluído</v>
      </c>
      <c r="G102" s="6" cm="1">
        <f t="array" ref="G102">SUMPRODUCT(
    (Atividades!$E$2:$E$598=Metas!E102) * (Atividades!$O$2:$O$598=Metas!L102),
    Atividades!$I$2:$I$598,
    Atividades!$J$2:$J$598
) / SUMPRODUCT(
    (Atividades!$E$2:$E$598=Metas!E102) * (Atividades!$O$2:$O$598=Metas!L102),
    Atividades!$J$2:$J$598
)</f>
        <v>1</v>
      </c>
      <c r="H102" s="37">
        <v>45901</v>
      </c>
      <c r="I102" s="37">
        <v>46006</v>
      </c>
      <c r="J102" s="5">
        <f t="shared" si="7"/>
        <v>105</v>
      </c>
      <c r="K102" s="5">
        <f>IFERROR(INDEX(Tabela3[ID_Responsavel], MATCH(L102,Tabela3[[Responsáveis ]], 0)), "Não encontrado")</f>
        <v>27</v>
      </c>
      <c r="L102" s="5" t="s">
        <v>174</v>
      </c>
      <c r="M102" s="5" t="s">
        <v>31</v>
      </c>
      <c r="N102" s="163"/>
      <c r="O102" s="161" t="s">
        <v>22</v>
      </c>
    </row>
    <row r="103" spans="1:15" ht="15" customHeight="1">
      <c r="A103" s="4">
        <f>IFERROR(INDEX(Tabela2[ID_Area], MATCH(B103,Tabela2[Area], 0)), "Não encontrado")</f>
        <v>1004</v>
      </c>
      <c r="B103" s="4" t="s">
        <v>15</v>
      </c>
      <c r="C103" s="4" t="s">
        <v>16</v>
      </c>
      <c r="D103" s="4">
        <f t="shared" si="6"/>
        <v>201</v>
      </c>
      <c r="E103" s="4" t="s">
        <v>184</v>
      </c>
      <c r="F103" s="4" t="str">
        <f t="shared" ref="F103" ca="1" si="10">IF(G103=1,"Concluído",
   IF(TODAY()&gt;I103,"Atrasado",
      IF(AND(G103=0,TODAY()&lt;I103),"Não iniciado",
         "Em Andamento")))</f>
        <v>Concluído</v>
      </c>
      <c r="G103" s="6" cm="1">
        <f t="array" ref="G103">SUMPRODUCT(
    (Atividades!$E$2:$E$598=Metas!E103) * (Atividades!$O$2:$O$598=Metas!L103),
    Atividades!$I$2:$I$598,
    Atividades!$J$2:$J$598
) / SUMPRODUCT(
    (Atividades!$E$2:$E$598=Metas!E103) * (Atividades!$O$2:$O$598=Metas!L103),
    Atividades!$J$2:$J$598
)</f>
        <v>1</v>
      </c>
      <c r="H103" s="37">
        <v>45901</v>
      </c>
      <c r="I103" s="37">
        <v>46021</v>
      </c>
      <c r="J103" s="5">
        <f t="shared" si="7"/>
        <v>120</v>
      </c>
      <c r="K103" s="5">
        <f>IFERROR(INDEX(Tabela3[ID_Responsavel], MATCH(L103,Tabela3[[Responsáveis ]], 0)), "Não encontrado")</f>
        <v>3</v>
      </c>
      <c r="L103" s="5" t="s">
        <v>30</v>
      </c>
      <c r="M103" s="5" t="s">
        <v>31</v>
      </c>
      <c r="N103" s="163"/>
      <c r="O103" s="161"/>
    </row>
    <row r="104" spans="1:15" ht="15" customHeight="1">
      <c r="A104" s="154">
        <f>IFERROR(INDEX(Tabela2[ID_Area], MATCH(B104,Tabela2[Area], 0)), "Não encontrado")</f>
        <v>1004</v>
      </c>
      <c r="B104" s="32" t="s">
        <v>15</v>
      </c>
      <c r="C104" s="4" t="s">
        <v>16</v>
      </c>
      <c r="D104" s="155">
        <f>ROW(D104) +98</f>
        <v>202</v>
      </c>
      <c r="E104" s="32" t="s">
        <v>185</v>
      </c>
      <c r="F104" s="32" t="str">
        <f ca="1">IF(G104=1,"Concluído",
   IF(TODAY()&gt;I104,"Atrasado",
      IF(AND(G104=0,TODAY()&lt;I104),"Não iniciado",
         "Em Andamento")))</f>
        <v>Concluído</v>
      </c>
      <c r="G104" s="33" cm="1">
        <f t="array" ref="G104">SUMPRODUCT(
    (Atividades!$E$2:$E$598=Metas!E104) * (Atividades!$O$2:$O$598=Metas!L104),
    Atividades!$I$2:$I$598,
    Atividades!$J$2:$J$598
) / SUMPRODUCT(
    (Atividades!$E$2:$E$598=Metas!E104) * (Atividades!$O$2:$O$598=Metas!L104),
    Atividades!$J$2:$J$598
)</f>
        <v>1</v>
      </c>
      <c r="H104" s="34">
        <v>45659</v>
      </c>
      <c r="I104" s="34">
        <v>46022</v>
      </c>
      <c r="J104" s="35">
        <f>I104-H104</f>
        <v>363</v>
      </c>
      <c r="K104" s="5">
        <f>IFERROR(INDEX(Tabela3[ID_Responsavel], MATCH(L104,Tabela3[[Responsáveis ]], 0)), "Não encontrado")</f>
        <v>3</v>
      </c>
      <c r="L104" s="5" t="s">
        <v>30</v>
      </c>
      <c r="M104" s="5" t="s">
        <v>31</v>
      </c>
      <c r="N104" s="164"/>
      <c r="O104" s="161"/>
    </row>
    <row r="105" spans="1:15" ht="15" hidden="1" customHeight="1">
      <c r="A105" s="169">
        <f>IFERROR(INDEX(Tabela2[ID_Area], MATCH(B105,Tabela2[Area], 0)), "Não encontrado")</f>
        <v>1003</v>
      </c>
      <c r="B105" s="4" t="s">
        <v>92</v>
      </c>
      <c r="C105" s="4" t="s">
        <v>125</v>
      </c>
      <c r="D105" s="170">
        <f t="shared" ref="D105:D108" si="11">ROW(D105) +98</f>
        <v>203</v>
      </c>
      <c r="E105" s="174" t="s">
        <v>163</v>
      </c>
      <c r="F105" s="172" t="str">
        <f t="shared" ref="F105:F108" ca="1" si="12">IF(G105=1,"Concluído",
   IF(TODAY()&gt;I105,"Atrasado",
      IF(AND(G105=0,TODAY()&lt;I105),"Não iniciado",
         "Em Andamento")))</f>
        <v>Concluído</v>
      </c>
      <c r="G105" s="173" cm="1">
        <f t="array" ref="G105">SUMPRODUCT(
    (Atividades!$E$2:$E$598=Metas!E105) * (Atividades!$O$2:$O$598=Metas!L105),
    Atividades!$I$2:$I$598,
    Atividades!$J$2:$J$598
) / SUMPRODUCT(
    (Atividades!$E$2:$E$598=Metas!E105) * (Atividades!$O$2:$O$598=Metas!L105),
    Atividades!$J$2:$J$598
)</f>
        <v>1</v>
      </c>
      <c r="H105" s="21">
        <v>45658</v>
      </c>
      <c r="I105" s="21">
        <v>46022</v>
      </c>
      <c r="J105" s="176">
        <f t="shared" ref="J105:J108" si="13">I105-H105</f>
        <v>364</v>
      </c>
      <c r="K105" s="5">
        <f>IFERROR(INDEX(Tabela3[ID_Responsavel], MATCH(L105,Tabela3[[Responsáveis ]], 0)), "Não encontrado")</f>
        <v>28</v>
      </c>
      <c r="L105" s="171" t="s">
        <v>186</v>
      </c>
      <c r="M105" s="5" t="s">
        <v>48</v>
      </c>
      <c r="N105" s="5"/>
      <c r="O105" s="161" t="s">
        <v>22</v>
      </c>
    </row>
    <row r="106" spans="1:15" ht="15" hidden="1" customHeight="1">
      <c r="A106" s="169">
        <f>IFERROR(INDEX(Tabela2[ID_Area], MATCH(B106,Tabela2[Area], 0)), "Não encontrado")</f>
        <v>1003</v>
      </c>
      <c r="B106" s="4" t="s">
        <v>92</v>
      </c>
      <c r="C106" s="4" t="s">
        <v>55</v>
      </c>
      <c r="D106" s="170">
        <f t="shared" si="11"/>
        <v>204</v>
      </c>
      <c r="E106" s="174" t="s">
        <v>187</v>
      </c>
      <c r="F106" s="172" t="str">
        <f t="shared" ca="1" si="12"/>
        <v>Concluído</v>
      </c>
      <c r="G106" s="173" cm="1">
        <f t="array" ref="G106">SUMPRODUCT(
    (Atividades!$E$2:$E$598=Metas!E106) * (Atividades!$O$2:$O$598=Metas!L106),
    Atividades!$I$2:$I$598,
    Atividades!$J$2:$J$598
) / SUMPRODUCT(
    (Atividades!$E$2:$E$598=Metas!E106) * (Atividades!$O$2:$O$598=Metas!L106),
    Atividades!$J$2:$J$598
)</f>
        <v>1</v>
      </c>
      <c r="H106" s="21">
        <v>45658</v>
      </c>
      <c r="I106" s="21">
        <v>45838</v>
      </c>
      <c r="J106" s="176">
        <f t="shared" si="13"/>
        <v>180</v>
      </c>
      <c r="K106" s="5">
        <f>IFERROR(INDEX(Tabela3[ID_Responsavel], MATCH(L106,Tabela3[[Responsáveis ]], 0)), "Não encontrado")</f>
        <v>28</v>
      </c>
      <c r="L106" s="171" t="s">
        <v>186</v>
      </c>
      <c r="M106" s="5" t="s">
        <v>48</v>
      </c>
      <c r="N106" s="5"/>
      <c r="O106" s="161" t="s">
        <v>22</v>
      </c>
    </row>
    <row r="107" spans="1:15" ht="15" hidden="1" customHeight="1">
      <c r="A107" s="169">
        <f>IFERROR(INDEX(Tabela2[ID_Area], MATCH(B107,Tabela2[Area], 0)), "Não encontrado")</f>
        <v>1003</v>
      </c>
      <c r="B107" s="4" t="s">
        <v>92</v>
      </c>
      <c r="C107" s="4" t="s">
        <v>125</v>
      </c>
      <c r="D107" s="170">
        <f t="shared" si="11"/>
        <v>205</v>
      </c>
      <c r="E107" s="174" t="s">
        <v>164</v>
      </c>
      <c r="F107" s="172" t="str">
        <f t="shared" ca="1" si="12"/>
        <v>Concluído</v>
      </c>
      <c r="G107" s="173" cm="1">
        <f t="array" ref="G107">SUMPRODUCT(
    (Atividades!$E$2:$E$598=Metas!E107) * (Atividades!$O$2:$O$598=Metas!L107),
    Atividades!$I$2:$I$598,
    Atividades!$J$2:$J$598
) / SUMPRODUCT(
    (Atividades!$E$2:$E$598=Metas!E107) * (Atividades!$O$2:$O$598=Metas!L107),
    Atividades!$J$2:$J$598
)</f>
        <v>1</v>
      </c>
      <c r="H107" s="21">
        <v>45658</v>
      </c>
      <c r="I107" s="21">
        <v>46022</v>
      </c>
      <c r="J107" s="176">
        <f t="shared" si="13"/>
        <v>364</v>
      </c>
      <c r="K107" s="5">
        <f>IFERROR(INDEX(Tabela3[ID_Responsavel], MATCH(L107,Tabela3[[Responsáveis ]], 0)), "Não encontrado")</f>
        <v>28</v>
      </c>
      <c r="L107" s="171" t="s">
        <v>186</v>
      </c>
      <c r="M107" s="5" t="s">
        <v>48</v>
      </c>
      <c r="N107" s="5"/>
      <c r="O107" s="161" t="s">
        <v>22</v>
      </c>
    </row>
    <row r="108" spans="1:15" ht="15" hidden="1" customHeight="1">
      <c r="A108" s="154">
        <f>IFERROR(INDEX(Tabela2[ID_Area], MATCH(B108,Tabela2[Area], 0)), "Não encontrado")</f>
        <v>1003</v>
      </c>
      <c r="B108" s="4" t="s">
        <v>92</v>
      </c>
      <c r="C108" s="32" t="s">
        <v>55</v>
      </c>
      <c r="D108" s="155">
        <f t="shared" si="11"/>
        <v>206</v>
      </c>
      <c r="E108" s="175" t="s">
        <v>157</v>
      </c>
      <c r="F108" s="172" t="str">
        <f t="shared" ca="1" si="12"/>
        <v>Atrasado</v>
      </c>
      <c r="G108" s="173" cm="1">
        <f t="array" ref="G108">SUMPRODUCT(
    (Atividades!$E$2:$E$598=Metas!E108) * (Atividades!$O$2:$O$598=Metas!L108),
    Atividades!$I$2:$I$598,
    Atividades!$J$2:$J$598
) / SUMPRODUCT(
    (Atividades!$E$2:$E$598=Metas!E108) * (Atividades!$O$2:$O$598=Metas!L108),
    Atividades!$J$2:$J$598
)</f>
        <v>0.5521472392638036</v>
      </c>
      <c r="H108" s="21">
        <v>45658</v>
      </c>
      <c r="I108" s="21">
        <v>45777</v>
      </c>
      <c r="J108" s="177">
        <f t="shared" si="13"/>
        <v>119</v>
      </c>
      <c r="K108" s="35">
        <f>IFERROR(INDEX(Tabela3[ID_Responsavel], MATCH(L108,Tabela3[[Responsáveis ]], 0)), "Não encontrado")</f>
        <v>28</v>
      </c>
      <c r="L108" s="171" t="s">
        <v>186</v>
      </c>
      <c r="M108" s="5" t="s">
        <v>48</v>
      </c>
      <c r="N108" s="35"/>
      <c r="O108" s="122" t="s">
        <v>21</v>
      </c>
    </row>
    <row r="109" spans="1:15" ht="15" hidden="1" customHeight="1">
      <c r="A109" s="154">
        <f>IFERROR(INDEX(Tabela2[ID_Area], MATCH(B109,Tabela2[Area], 0)), "Não encontrado")</f>
        <v>1003</v>
      </c>
      <c r="B109" s="4" t="s">
        <v>92</v>
      </c>
      <c r="C109" s="32" t="s">
        <v>67</v>
      </c>
      <c r="D109" s="155">
        <f>ROW(D109) +98</f>
        <v>207</v>
      </c>
      <c r="E109" s="175" t="s">
        <v>165</v>
      </c>
      <c r="F109" s="172" t="str">
        <f ca="1">IF(G109=1,"Concluído",
   IF(TODAY()&gt;I109,"Atrasado",
      IF(AND(G109=0,TODAY()&lt;I109),"Não iniciado",
         "Em Andamento")))</f>
        <v>Atrasado</v>
      </c>
      <c r="G109" s="173" cm="1">
        <f t="array" ref="G109">SUMPRODUCT(
    (Atividades!$E$2:$E$598=Metas!E109) * (Atividades!$O$2:$O$598=Metas!L109),
    Atividades!$I$2:$I$598,
    Atividades!$J$2:$J$598
) / SUMPRODUCT(
    (Atividades!$E$2:$E$598=Metas!E109) * (Atividades!$O$2:$O$598=Metas!L109),
    Atividades!$J$2:$J$598
)</f>
        <v>0.52480000000000004</v>
      </c>
      <c r="H109" s="21">
        <v>45658</v>
      </c>
      <c r="I109" s="21">
        <v>46022</v>
      </c>
      <c r="J109" s="177">
        <f>I109-H109</f>
        <v>364</v>
      </c>
      <c r="K109" s="35">
        <f>IFERROR(INDEX(Tabela3[ID_Responsavel], MATCH(L109,Tabela3[[Responsáveis ]], 0)), "Não encontrado")</f>
        <v>28</v>
      </c>
      <c r="L109" s="171" t="s">
        <v>186</v>
      </c>
      <c r="M109" s="5" t="s">
        <v>48</v>
      </c>
      <c r="N109" s="35"/>
      <c r="O109" s="122" t="s">
        <v>21</v>
      </c>
    </row>
  </sheetData>
  <sheetProtection sheet="1" objects="1" scenarios="1" autoFilter="0"/>
  <protectedRanges>
    <protectedRange sqref="N1:O1048576" name="Mensagem"/>
  </protectedRanges>
  <dataValidations count="1">
    <dataValidation type="list" allowBlank="1" showInputMessage="1" showErrorMessage="1" sqref="O2:O109" xr:uid="{F1E3B3C7-09B9-4B25-A0F3-CC4128BC206B}">
      <formula1>SimNao</formula1>
    </dataValidation>
  </dataValidations>
  <pageMargins left="0.511811024" right="0.511811024" top="0.78740157499999996" bottom="0.78740157499999996" header="0.31496062000000002" footer="0.31496062000000002"/>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355D-ECFE-4329-8AF6-8B5F00DEA7BD}">
  <dimension ref="A1:Q598"/>
  <sheetViews>
    <sheetView topLeftCell="I1" zoomScale="70" zoomScaleNormal="70" workbookViewId="0">
      <selection activeCell="I38" sqref="I38"/>
    </sheetView>
  </sheetViews>
  <sheetFormatPr defaultColWidth="8.5703125" defaultRowHeight="15" customHeight="1"/>
  <cols>
    <col min="1" max="1" width="10" style="9" bestFit="1" customWidth="1"/>
    <col min="2" max="2" width="26.5703125" style="2" bestFit="1" customWidth="1"/>
    <col min="3" max="3" width="22.5703125" style="1" customWidth="1"/>
    <col min="4" max="4" width="15.42578125" style="1" customWidth="1"/>
    <col min="5" max="5" width="136.42578125" style="1" customWidth="1"/>
    <col min="6" max="6" width="255.5703125" style="1" customWidth="1"/>
    <col min="7" max="7" width="31.42578125" style="1" customWidth="1"/>
    <col min="8" max="8" width="27.5703125" style="10" customWidth="1"/>
    <col min="9" max="9" width="33.85546875" style="10" customWidth="1"/>
    <col min="10" max="10" width="17.85546875" style="1" customWidth="1"/>
    <col min="11" max="12" width="14.42578125" style="1" customWidth="1"/>
    <col min="13" max="13" width="11.85546875" style="2" bestFit="1" customWidth="1"/>
    <col min="14" max="14" width="19" style="2" customWidth="1"/>
    <col min="15" max="15" width="23.140625" style="31" customWidth="1"/>
    <col min="16" max="16" width="12.42578125" style="1" customWidth="1"/>
    <col min="17" max="17" width="209.85546875" style="10" customWidth="1"/>
    <col min="18" max="16384" width="8.5703125" style="9"/>
  </cols>
  <sheetData>
    <row r="1" spans="1:17" ht="16.5">
      <c r="A1" s="38" t="s">
        <v>0</v>
      </c>
      <c r="B1" s="39" t="s">
        <v>1</v>
      </c>
      <c r="C1" s="40" t="s">
        <v>2</v>
      </c>
      <c r="D1" s="40" t="s">
        <v>3</v>
      </c>
      <c r="E1" s="40" t="s">
        <v>4</v>
      </c>
      <c r="F1" s="40" t="s">
        <v>188</v>
      </c>
      <c r="G1" s="40" t="s">
        <v>189</v>
      </c>
      <c r="H1" s="40" t="s">
        <v>190</v>
      </c>
      <c r="I1" s="41" t="s">
        <v>191</v>
      </c>
      <c r="J1" s="42" t="s">
        <v>192</v>
      </c>
      <c r="K1" s="40" t="s">
        <v>7</v>
      </c>
      <c r="L1" s="40" t="s">
        <v>8</v>
      </c>
      <c r="M1" s="40" t="s">
        <v>9</v>
      </c>
      <c r="N1" s="43" t="s">
        <v>10</v>
      </c>
      <c r="O1" s="44" t="s">
        <v>11</v>
      </c>
      <c r="P1" s="40" t="s">
        <v>12</v>
      </c>
      <c r="Q1" s="45" t="s">
        <v>13</v>
      </c>
    </row>
    <row r="2" spans="1:17" ht="37.5" customHeight="1">
      <c r="A2" s="46">
        <f>IFERROR(INDEX(Tabela2[ID_Area], MATCH(B2,Tabela2[Area], 0)), "Não encontrado")</f>
        <v>1000</v>
      </c>
      <c r="B2" s="47" t="s">
        <v>54</v>
      </c>
      <c r="C2" s="48" t="s">
        <v>33</v>
      </c>
      <c r="D2" s="49">
        <f>IFERROR(INDEX(Metas!$D$2:$D$104, MATCH(E2,Metas!$E$2:$E$104, 0)), "Não encontrado")</f>
        <v>125</v>
      </c>
      <c r="E2" s="50" t="s">
        <v>61</v>
      </c>
      <c r="F2" s="50" t="s">
        <v>193</v>
      </c>
      <c r="G2" s="49" t="str">
        <f t="shared" ref="G2:G51" ca="1" si="0">IF(I2=1,"Concluído",
   IF(TODAY()&gt;L2,"Atrasado",
      IF(AND(I2=0,TODAY()&lt;K2),"Não iniciado",
         "Em Andamento")))</f>
        <v>Concluído</v>
      </c>
      <c r="H2" s="51">
        <v>45660</v>
      </c>
      <c r="I2" s="52">
        <v>1</v>
      </c>
      <c r="J2" s="53">
        <f t="shared" ref="J2:J65" si="1">IFERROR( M2 / SUMIFS($M:$M, $E:$E, $E2, $O:$O, $O2) * 120, 0 )</f>
        <v>0.30795551753635586</v>
      </c>
      <c r="K2" s="54">
        <v>45660</v>
      </c>
      <c r="L2" s="55">
        <v>45662</v>
      </c>
      <c r="M2" s="56">
        <f t="shared" ref="M2:M33" si="2" xml:space="preserve"> L2 - K2 + 1</f>
        <v>3</v>
      </c>
      <c r="N2" s="57">
        <f>IFERROR(INDEX(Tabela3[ID_Responsavel], MATCH(O2,Tabela3[[Responsáveis ]], 0)), "Não encontrado")</f>
        <v>7</v>
      </c>
      <c r="O2" s="58" t="s">
        <v>57</v>
      </c>
      <c r="P2" s="59" t="s">
        <v>31</v>
      </c>
      <c r="Q2" s="60" t="s">
        <v>194</v>
      </c>
    </row>
    <row r="3" spans="1:17" ht="16.5">
      <c r="A3" s="61">
        <f>IFERROR(INDEX(Tabela2[ID_Area], MATCH(B3,Tabela2[Area], 0)), "Não encontrado")</f>
        <v>1000</v>
      </c>
      <c r="B3" s="47" t="s">
        <v>54</v>
      </c>
      <c r="C3" s="48" t="s">
        <v>33</v>
      </c>
      <c r="D3" s="62">
        <f>IFERROR(INDEX(Metas!$D$2:$D$104, MATCH(E3,Metas!$E$2:$E$104, 0)), "Não encontrado")</f>
        <v>125</v>
      </c>
      <c r="E3" s="63" t="s">
        <v>61</v>
      </c>
      <c r="F3" s="63" t="s">
        <v>195</v>
      </c>
      <c r="G3" s="62" t="str">
        <f t="shared" ca="1" si="0"/>
        <v>Concluído</v>
      </c>
      <c r="H3" s="64">
        <v>45671</v>
      </c>
      <c r="I3" s="65">
        <v>1</v>
      </c>
      <c r="J3" s="53">
        <f t="shared" si="1"/>
        <v>1.74508126603935</v>
      </c>
      <c r="K3" s="66">
        <v>45664</v>
      </c>
      <c r="L3" s="67">
        <v>45680</v>
      </c>
      <c r="M3" s="68">
        <f t="shared" si="2"/>
        <v>17</v>
      </c>
      <c r="N3" s="69">
        <f>IFERROR(INDEX(Tabela3[ID_Responsavel], MATCH(O3,Tabela3[[Responsáveis ]], 0)), "Não encontrado")</f>
        <v>7</v>
      </c>
      <c r="O3" s="58" t="s">
        <v>57</v>
      </c>
      <c r="P3" s="59" t="s">
        <v>31</v>
      </c>
      <c r="Q3" s="60" t="s">
        <v>196</v>
      </c>
    </row>
    <row r="4" spans="1:17" ht="16.5">
      <c r="A4" s="46">
        <f>IFERROR(INDEX(Tabela2[ID_Area], MATCH(B4,Tabela2[Area], 0)), "Não encontrado")</f>
        <v>1000</v>
      </c>
      <c r="B4" s="47" t="s">
        <v>54</v>
      </c>
      <c r="C4" s="48" t="s">
        <v>33</v>
      </c>
      <c r="D4" s="62">
        <f>IFERROR(INDEX(Metas!$D$2:$D$104, MATCH(E4,Metas!$E$2:$E$104, 0)), "Não encontrado")</f>
        <v>125</v>
      </c>
      <c r="E4" s="63" t="s">
        <v>61</v>
      </c>
      <c r="F4" s="63" t="s">
        <v>197</v>
      </c>
      <c r="G4" s="62" t="str">
        <f t="shared" ca="1" si="0"/>
        <v>Concluído</v>
      </c>
      <c r="H4" s="70" t="s">
        <v>198</v>
      </c>
      <c r="I4" s="65">
        <v>1</v>
      </c>
      <c r="J4" s="53">
        <f t="shared" si="1"/>
        <v>22.378100940975191</v>
      </c>
      <c r="K4" s="66">
        <v>45703</v>
      </c>
      <c r="L4" s="67">
        <v>45920</v>
      </c>
      <c r="M4" s="68">
        <f t="shared" si="2"/>
        <v>218</v>
      </c>
      <c r="N4" s="69">
        <f>IFERROR(INDEX(Tabela3[ID_Responsavel], MATCH(O4,Tabela3[[Responsáveis ]], 0)), "Não encontrado")</f>
        <v>7</v>
      </c>
      <c r="O4" s="58" t="s">
        <v>57</v>
      </c>
      <c r="P4" s="59" t="s">
        <v>31</v>
      </c>
      <c r="Q4" s="60" t="s">
        <v>198</v>
      </c>
    </row>
    <row r="5" spans="1:17" ht="16.5">
      <c r="A5" s="61">
        <f>IFERROR(INDEX(Tabela2[ID_Area], MATCH(B5,Tabela2[Area], 0)), "Não encontrado")</f>
        <v>1000</v>
      </c>
      <c r="B5" s="47" t="s">
        <v>54</v>
      </c>
      <c r="C5" s="48" t="s">
        <v>33</v>
      </c>
      <c r="D5" s="62">
        <f>IFERROR(INDEX(Metas!$D$2:$D$104, MATCH(E5,Metas!$E$2:$E$104, 0)), "Não encontrado")</f>
        <v>125</v>
      </c>
      <c r="E5" s="63" t="s">
        <v>61</v>
      </c>
      <c r="F5" s="63" t="s">
        <v>199</v>
      </c>
      <c r="G5" s="62" t="str">
        <f t="shared" ca="1" si="0"/>
        <v>Concluído</v>
      </c>
      <c r="H5" s="70" t="s">
        <v>198</v>
      </c>
      <c r="I5" s="65">
        <v>1</v>
      </c>
      <c r="J5" s="53">
        <f t="shared" si="1"/>
        <v>19.811804961505562</v>
      </c>
      <c r="K5" s="66">
        <v>45736</v>
      </c>
      <c r="L5" s="67">
        <v>45928</v>
      </c>
      <c r="M5" s="68">
        <f t="shared" si="2"/>
        <v>193</v>
      </c>
      <c r="N5" s="69">
        <f>IFERROR(INDEX(Tabela3[ID_Responsavel], MATCH(O5,Tabela3[[Responsáveis ]], 0)), "Não encontrado")</f>
        <v>7</v>
      </c>
      <c r="O5" s="58" t="s">
        <v>57</v>
      </c>
      <c r="P5" s="59" t="s">
        <v>31</v>
      </c>
      <c r="Q5" s="60" t="s">
        <v>198</v>
      </c>
    </row>
    <row r="6" spans="1:17" ht="16.5">
      <c r="A6" s="46">
        <f>IFERROR(INDEX(Tabela2[ID_Area], MATCH(B6,Tabela2[Area], 0)), "Não encontrado")</f>
        <v>1000</v>
      </c>
      <c r="B6" s="47" t="s">
        <v>54</v>
      </c>
      <c r="C6" s="48" t="s">
        <v>33</v>
      </c>
      <c r="D6" s="62">
        <f>IFERROR(INDEX(Metas!$D$2:$D$104, MATCH(E6,Metas!$E$2:$E$104, 0)), "Não encontrado")</f>
        <v>125</v>
      </c>
      <c r="E6" s="63" t="s">
        <v>61</v>
      </c>
      <c r="F6" s="63" t="s">
        <v>200</v>
      </c>
      <c r="G6" s="62" t="str">
        <f t="shared" ca="1" si="0"/>
        <v>Concluído</v>
      </c>
      <c r="H6" s="70" t="s">
        <v>198</v>
      </c>
      <c r="I6" s="65">
        <v>1</v>
      </c>
      <c r="J6" s="53">
        <f t="shared" si="1"/>
        <v>19.606501283147992</v>
      </c>
      <c r="K6" s="66">
        <v>45740</v>
      </c>
      <c r="L6" s="67">
        <v>45930</v>
      </c>
      <c r="M6" s="68">
        <f t="shared" si="2"/>
        <v>191</v>
      </c>
      <c r="N6" s="69">
        <f>IFERROR(INDEX(Tabela3[ID_Responsavel], MATCH(O6,Tabela3[[Responsáveis ]], 0)), "Não encontrado")</f>
        <v>7</v>
      </c>
      <c r="O6" s="58" t="s">
        <v>57</v>
      </c>
      <c r="P6" s="59" t="s">
        <v>31</v>
      </c>
      <c r="Q6" s="60" t="s">
        <v>198</v>
      </c>
    </row>
    <row r="7" spans="1:17" ht="16.5">
      <c r="A7" s="61">
        <f>IFERROR(INDEX(Tabela2[ID_Area], MATCH(B7,Tabela2[Area], 0)), "Não encontrado")</f>
        <v>1000</v>
      </c>
      <c r="B7" s="47" t="s">
        <v>54</v>
      </c>
      <c r="C7" s="48" t="s">
        <v>33</v>
      </c>
      <c r="D7" s="62">
        <f>IFERROR(INDEX(Metas!$D$2:$D$104, MATCH(E7,Metas!$E$2:$E$104, 0)), "Não encontrado")</f>
        <v>125</v>
      </c>
      <c r="E7" s="63" t="s">
        <v>61</v>
      </c>
      <c r="F7" s="63" t="s">
        <v>201</v>
      </c>
      <c r="G7" s="62" t="str">
        <f t="shared" ca="1" si="0"/>
        <v>Concluído</v>
      </c>
      <c r="H7" s="70" t="s">
        <v>198</v>
      </c>
      <c r="I7" s="65">
        <v>1</v>
      </c>
      <c r="J7" s="53">
        <f t="shared" si="1"/>
        <v>16.732249786142003</v>
      </c>
      <c r="K7" s="66">
        <v>45778</v>
      </c>
      <c r="L7" s="67">
        <v>45940</v>
      </c>
      <c r="M7" s="68">
        <f t="shared" si="2"/>
        <v>163</v>
      </c>
      <c r="N7" s="69">
        <f>IFERROR(INDEX(Tabela3[ID_Responsavel], MATCH(O7,Tabela3[[Responsáveis ]], 0)), "Não encontrado")</f>
        <v>7</v>
      </c>
      <c r="O7" s="58" t="s">
        <v>57</v>
      </c>
      <c r="P7" s="59" t="s">
        <v>31</v>
      </c>
      <c r="Q7" s="60" t="s">
        <v>198</v>
      </c>
    </row>
    <row r="8" spans="1:17" ht="16.5">
      <c r="A8" s="46">
        <f>IFERROR(INDEX(Tabela2[ID_Area], MATCH(B8,Tabela2[Area], 0)), "Não encontrado")</f>
        <v>1000</v>
      </c>
      <c r="B8" s="47" t="s">
        <v>54</v>
      </c>
      <c r="C8" s="48" t="s">
        <v>33</v>
      </c>
      <c r="D8" s="62">
        <f>IFERROR(INDEX(Metas!$D$2:$D$104, MATCH(E8,Metas!$E$2:$E$104, 0)), "Não encontrado")</f>
        <v>125</v>
      </c>
      <c r="E8" s="63" t="s">
        <v>61</v>
      </c>
      <c r="F8" s="63" t="s">
        <v>202</v>
      </c>
      <c r="G8" s="62" t="str">
        <f t="shared" ca="1" si="0"/>
        <v>Concluído</v>
      </c>
      <c r="H8" s="70"/>
      <c r="I8" s="65">
        <v>1</v>
      </c>
      <c r="J8" s="53">
        <f t="shared" si="1"/>
        <v>13.9606501283148</v>
      </c>
      <c r="K8" s="66">
        <v>45846</v>
      </c>
      <c r="L8" s="67">
        <v>45981</v>
      </c>
      <c r="M8" s="68">
        <f t="shared" si="2"/>
        <v>136</v>
      </c>
      <c r="N8" s="69">
        <f>IFERROR(INDEX(Tabela3[ID_Responsavel], MATCH(O8,Tabela3[[Responsáveis ]], 0)), "Não encontrado")</f>
        <v>7</v>
      </c>
      <c r="O8" s="58" t="s">
        <v>57</v>
      </c>
      <c r="P8" s="59" t="s">
        <v>31</v>
      </c>
      <c r="Q8" s="60" t="s">
        <v>198</v>
      </c>
    </row>
    <row r="9" spans="1:17" ht="16.5">
      <c r="A9" s="61">
        <f>IFERROR(INDEX(Tabela2[ID_Area], MATCH(B9,Tabela2[Area], 0)), "Não encontrado")</f>
        <v>1000</v>
      </c>
      <c r="B9" s="47" t="s">
        <v>54</v>
      </c>
      <c r="C9" s="48" t="s">
        <v>33</v>
      </c>
      <c r="D9" s="62">
        <f>IFERROR(INDEX(Metas!$D$2:$D$104, MATCH(E9,Metas!$E$2:$E$104, 0)), "Não encontrado")</f>
        <v>125</v>
      </c>
      <c r="E9" s="63" t="s">
        <v>61</v>
      </c>
      <c r="F9" s="63" t="s">
        <v>203</v>
      </c>
      <c r="G9" s="62" t="str">
        <f t="shared" ca="1" si="0"/>
        <v>Concluído</v>
      </c>
      <c r="H9" s="70" t="s">
        <v>198</v>
      </c>
      <c r="I9" s="65">
        <v>1</v>
      </c>
      <c r="J9" s="53">
        <f t="shared" si="1"/>
        <v>12.934131736526947</v>
      </c>
      <c r="K9" s="66">
        <v>45860</v>
      </c>
      <c r="L9" s="67">
        <v>45985</v>
      </c>
      <c r="M9" s="68">
        <f t="shared" si="2"/>
        <v>126</v>
      </c>
      <c r="N9" s="69">
        <f>IFERROR(INDEX(Tabela3[ID_Responsavel], MATCH(O9,Tabela3[[Responsáveis ]], 0)), "Não encontrado")</f>
        <v>7</v>
      </c>
      <c r="O9" s="58" t="s">
        <v>57</v>
      </c>
      <c r="P9" s="59" t="s">
        <v>31</v>
      </c>
      <c r="Q9" s="60" t="s">
        <v>198</v>
      </c>
    </row>
    <row r="10" spans="1:17" ht="16.5">
      <c r="A10" s="46">
        <f>IFERROR(INDEX(Tabela2[ID_Area], MATCH(B10,Tabela2[Area], 0)), "Não encontrado")</f>
        <v>1000</v>
      </c>
      <c r="B10" s="47" t="s">
        <v>54</v>
      </c>
      <c r="C10" s="48" t="s">
        <v>33</v>
      </c>
      <c r="D10" s="62">
        <f>IFERROR(INDEX(Metas!$D$2:$D$104, MATCH(E10,Metas!$E$2:$E$104, 0)), "Não encontrado")</f>
        <v>125</v>
      </c>
      <c r="E10" s="63" t="s">
        <v>61</v>
      </c>
      <c r="F10" s="71" t="s">
        <v>204</v>
      </c>
      <c r="G10" s="62" t="str">
        <f t="shared" ca="1" si="0"/>
        <v>Concluído</v>
      </c>
      <c r="H10" s="72" t="s">
        <v>198</v>
      </c>
      <c r="I10" s="65">
        <v>1</v>
      </c>
      <c r="J10" s="53">
        <f t="shared" si="1"/>
        <v>12.523524379811805</v>
      </c>
      <c r="K10" s="66">
        <v>45868</v>
      </c>
      <c r="L10" s="67">
        <v>45989</v>
      </c>
      <c r="M10" s="68">
        <f t="shared" si="2"/>
        <v>122</v>
      </c>
      <c r="N10" s="69">
        <f>IFERROR(INDEX(Tabela3[ID_Responsavel], MATCH(O10,Tabela3[[Responsáveis ]], 0)), "Não encontrado")</f>
        <v>7</v>
      </c>
      <c r="O10" s="58" t="s">
        <v>57</v>
      </c>
      <c r="P10" s="59" t="s">
        <v>31</v>
      </c>
      <c r="Q10" s="60" t="s">
        <v>198</v>
      </c>
    </row>
    <row r="11" spans="1:17" ht="30.75">
      <c r="A11" s="113">
        <f>IFERROR(INDEX(Tabela2[ID_Area], MATCH(B11,Tabela2[Area], 0)), "Não encontrado")</f>
        <v>1000</v>
      </c>
      <c r="B11" s="47" t="s">
        <v>54</v>
      </c>
      <c r="C11" s="48" t="s">
        <v>33</v>
      </c>
      <c r="D11" s="62">
        <f>IFERROR(INDEX(Metas!$D$2:$D$104, MATCH(E11,Metas!$E$2:$E$104, 0)), "Não encontrado")</f>
        <v>123</v>
      </c>
      <c r="E11" s="63" t="s">
        <v>59</v>
      </c>
      <c r="F11" s="63" t="s">
        <v>205</v>
      </c>
      <c r="G11" s="62" t="str">
        <f t="shared" ca="1" si="0"/>
        <v>Concluído</v>
      </c>
      <c r="H11" s="70" t="s">
        <v>198</v>
      </c>
      <c r="I11" s="65">
        <v>1</v>
      </c>
      <c r="J11" s="53">
        <f t="shared" si="1"/>
        <v>39.466666666666669</v>
      </c>
      <c r="K11" s="66">
        <v>45847</v>
      </c>
      <c r="L11" s="67">
        <v>45994</v>
      </c>
      <c r="M11" s="68">
        <f t="shared" si="2"/>
        <v>148</v>
      </c>
      <c r="N11" s="69">
        <f>IFERROR(INDEX(Tabela3[ID_Responsavel], MATCH(O11,Tabela3[[Responsáveis ]], 0)), "Não encontrado")</f>
        <v>7</v>
      </c>
      <c r="O11" s="58" t="s">
        <v>57</v>
      </c>
      <c r="P11" s="59" t="s">
        <v>31</v>
      </c>
      <c r="Q11" s="60"/>
    </row>
    <row r="12" spans="1:17" ht="30.75">
      <c r="A12" s="117">
        <f>IFERROR(INDEX(Tabela2[ID_Area], MATCH(B12,Tabela2[Area], 0)), "Não encontrado")</f>
        <v>1000</v>
      </c>
      <c r="B12" s="47" t="s">
        <v>54</v>
      </c>
      <c r="C12" s="48" t="s">
        <v>33</v>
      </c>
      <c r="D12" s="62">
        <f>IFERROR(INDEX(Metas!$D$2:$D$104, MATCH(E12,Metas!$E$2:$E$104, 0)), "Não encontrado")</f>
        <v>123</v>
      </c>
      <c r="E12" s="63" t="s">
        <v>59</v>
      </c>
      <c r="F12" s="63" t="s">
        <v>206</v>
      </c>
      <c r="G12" s="62" t="str">
        <f t="shared" ca="1" si="0"/>
        <v>Concluído</v>
      </c>
      <c r="H12" s="70" t="s">
        <v>198</v>
      </c>
      <c r="I12" s="65">
        <v>1</v>
      </c>
      <c r="J12" s="53">
        <f t="shared" si="1"/>
        <v>26.133333333333333</v>
      </c>
      <c r="K12" s="66">
        <v>45899</v>
      </c>
      <c r="L12" s="67">
        <v>45996</v>
      </c>
      <c r="M12" s="68">
        <f t="shared" si="2"/>
        <v>98</v>
      </c>
      <c r="N12" s="69">
        <f>IFERROR(INDEX(Tabela3[ID_Responsavel], MATCH(O12,Tabela3[[Responsáveis ]], 0)), "Não encontrado")</f>
        <v>7</v>
      </c>
      <c r="O12" s="58" t="s">
        <v>57</v>
      </c>
      <c r="P12" s="59" t="s">
        <v>31</v>
      </c>
      <c r="Q12" s="60" t="s">
        <v>198</v>
      </c>
    </row>
    <row r="13" spans="1:17" ht="30.75">
      <c r="A13" s="113">
        <f>IFERROR(INDEX(Tabela2[ID_Area], MATCH(B13,Tabela2[Area], 0)), "Não encontrado")</f>
        <v>1000</v>
      </c>
      <c r="B13" s="47" t="s">
        <v>54</v>
      </c>
      <c r="C13" s="48" t="s">
        <v>33</v>
      </c>
      <c r="D13" s="62">
        <f>IFERROR(INDEX(Metas!$D$2:$D$104, MATCH(E13,Metas!$E$2:$E$104, 0)), "Não encontrado")</f>
        <v>123</v>
      </c>
      <c r="E13" s="63" t="s">
        <v>59</v>
      </c>
      <c r="F13" s="63" t="s">
        <v>207</v>
      </c>
      <c r="G13" s="62" t="str">
        <f t="shared" ca="1" si="0"/>
        <v>Concluído</v>
      </c>
      <c r="H13" s="70" t="s">
        <v>198</v>
      </c>
      <c r="I13" s="65">
        <v>1</v>
      </c>
      <c r="J13" s="53">
        <f t="shared" si="1"/>
        <v>18.933333333333334</v>
      </c>
      <c r="K13" s="66">
        <v>45931</v>
      </c>
      <c r="L13" s="67">
        <v>46001</v>
      </c>
      <c r="M13" s="68">
        <f t="shared" si="2"/>
        <v>71</v>
      </c>
      <c r="N13" s="69">
        <f>IFERROR(INDEX(Tabela3[ID_Responsavel], MATCH(O13,Tabela3[[Responsáveis ]], 0)), "Não encontrado")</f>
        <v>7</v>
      </c>
      <c r="O13" s="58" t="s">
        <v>57</v>
      </c>
      <c r="P13" s="59" t="s">
        <v>31</v>
      </c>
      <c r="Q13" s="60" t="s">
        <v>198</v>
      </c>
    </row>
    <row r="14" spans="1:17" ht="30.75">
      <c r="A14" s="117">
        <f>IFERROR(INDEX(Tabela2[ID_Area], MATCH(B14,Tabela2[Area], 0)), "Não encontrado")</f>
        <v>1000</v>
      </c>
      <c r="B14" s="47" t="s">
        <v>54</v>
      </c>
      <c r="C14" s="48" t="s">
        <v>33</v>
      </c>
      <c r="D14" s="62">
        <f>IFERROR(INDEX(Metas!$D$2:$D$104, MATCH(E14,Metas!$E$2:$E$104, 0)), "Não encontrado")</f>
        <v>123</v>
      </c>
      <c r="E14" s="63" t="s">
        <v>59</v>
      </c>
      <c r="F14" s="63" t="s">
        <v>208</v>
      </c>
      <c r="G14" s="62" t="str">
        <f t="shared" ca="1" si="0"/>
        <v>Concluído</v>
      </c>
      <c r="H14" s="70" t="s">
        <v>198</v>
      </c>
      <c r="I14" s="65">
        <v>1</v>
      </c>
      <c r="J14" s="53">
        <f t="shared" si="1"/>
        <v>16.533333333333331</v>
      </c>
      <c r="K14" s="66">
        <v>45943</v>
      </c>
      <c r="L14" s="67">
        <v>46004</v>
      </c>
      <c r="M14" s="68">
        <f t="shared" si="2"/>
        <v>62</v>
      </c>
      <c r="N14" s="69">
        <f>IFERROR(INDEX(Tabela3[ID_Responsavel], MATCH(O14,Tabela3[[Responsáveis ]], 0)), "Não encontrado")</f>
        <v>7</v>
      </c>
      <c r="O14" s="58" t="s">
        <v>57</v>
      </c>
      <c r="P14" s="59" t="s">
        <v>31</v>
      </c>
      <c r="Q14" s="60" t="s">
        <v>198</v>
      </c>
    </row>
    <row r="15" spans="1:17" ht="30.75">
      <c r="A15" s="113">
        <f>IFERROR(INDEX(Tabela2[ID_Area], MATCH(B15,Tabela2[Area], 0)), "Não encontrado")</f>
        <v>1000</v>
      </c>
      <c r="B15" s="47" t="s">
        <v>54</v>
      </c>
      <c r="C15" s="48" t="s">
        <v>33</v>
      </c>
      <c r="D15" s="62">
        <f>IFERROR(INDEX(Metas!$D$2:$D$104, MATCH(E15,Metas!$E$2:$E$104, 0)), "Não encontrado")</f>
        <v>123</v>
      </c>
      <c r="E15" s="63" t="s">
        <v>59</v>
      </c>
      <c r="F15" s="63" t="s">
        <v>209</v>
      </c>
      <c r="G15" s="62" t="str">
        <f t="shared" ca="1" si="0"/>
        <v>Concluído</v>
      </c>
      <c r="H15" s="70" t="s">
        <v>198</v>
      </c>
      <c r="I15" s="65">
        <v>1</v>
      </c>
      <c r="J15" s="53">
        <f t="shared" si="1"/>
        <v>18.933333333333334</v>
      </c>
      <c r="K15" s="66">
        <v>45951</v>
      </c>
      <c r="L15" s="67">
        <v>46021</v>
      </c>
      <c r="M15" s="68">
        <f t="shared" si="2"/>
        <v>71</v>
      </c>
      <c r="N15" s="69">
        <f>IFERROR(INDEX(Tabela3[ID_Responsavel], MATCH(O15,Tabela3[[Responsáveis ]], 0)), "Não encontrado")</f>
        <v>7</v>
      </c>
      <c r="O15" s="58" t="s">
        <v>57</v>
      </c>
      <c r="P15" s="59" t="s">
        <v>31</v>
      </c>
      <c r="Q15" s="60" t="s">
        <v>198</v>
      </c>
    </row>
    <row r="16" spans="1:17" ht="16.5">
      <c r="A16" s="117">
        <f>IFERROR(INDEX(Tabela2[ID_Area], MATCH(B16,Tabela2[Area], 0)), "Não encontrado")</f>
        <v>1000</v>
      </c>
      <c r="B16" s="47" t="s">
        <v>54</v>
      </c>
      <c r="C16" s="48" t="s">
        <v>24</v>
      </c>
      <c r="D16" s="62">
        <f>IFERROR(INDEX(Metas!$D$2:$D$104, MATCH(E16,Metas!$E$2:$E$104, 0)), "Não encontrado")</f>
        <v>124</v>
      </c>
      <c r="E16" s="63" t="s">
        <v>60</v>
      </c>
      <c r="F16" s="63" t="s">
        <v>210</v>
      </c>
      <c r="G16" s="62" t="str">
        <f t="shared" ca="1" si="0"/>
        <v>Concluído</v>
      </c>
      <c r="H16" s="70" t="s">
        <v>198</v>
      </c>
      <c r="I16" s="65">
        <v>1</v>
      </c>
      <c r="J16" s="53">
        <f t="shared" si="1"/>
        <v>1.8163471241170535</v>
      </c>
      <c r="K16" s="66">
        <v>45674</v>
      </c>
      <c r="L16" s="67">
        <v>45688</v>
      </c>
      <c r="M16" s="68">
        <f t="shared" si="2"/>
        <v>15</v>
      </c>
      <c r="N16" s="69">
        <f>IFERROR(INDEX(Tabela3[ID_Responsavel], MATCH(O16,Tabela3[[Responsáveis ]], 0)), "Não encontrado")</f>
        <v>7</v>
      </c>
      <c r="O16" s="58" t="s">
        <v>57</v>
      </c>
      <c r="P16" s="59" t="s">
        <v>31</v>
      </c>
      <c r="Q16" s="60" t="s">
        <v>198</v>
      </c>
    </row>
    <row r="17" spans="1:17" ht="16.5">
      <c r="A17" s="113">
        <f>IFERROR(INDEX(Tabela2[ID_Area], MATCH(B17,Tabela2[Area], 0)), "Não encontrado")</f>
        <v>1000</v>
      </c>
      <c r="B17" s="47" t="s">
        <v>54</v>
      </c>
      <c r="C17" s="48" t="s">
        <v>24</v>
      </c>
      <c r="D17" s="62">
        <f>IFERROR(INDEX(Metas!$D$2:$D$104, MATCH(E17,Metas!$E$2:$E$104, 0)), "Não encontrado")</f>
        <v>124</v>
      </c>
      <c r="E17" s="63" t="s">
        <v>60</v>
      </c>
      <c r="F17" s="63" t="s">
        <v>211</v>
      </c>
      <c r="G17" s="62" t="str">
        <f t="shared" ca="1" si="0"/>
        <v>Concluído</v>
      </c>
      <c r="H17" s="70" t="s">
        <v>198</v>
      </c>
      <c r="I17" s="65">
        <v>1</v>
      </c>
      <c r="J17" s="53">
        <f t="shared" si="1"/>
        <v>3.1483350151362259</v>
      </c>
      <c r="K17" s="66">
        <v>45691</v>
      </c>
      <c r="L17" s="67">
        <v>45716</v>
      </c>
      <c r="M17" s="68">
        <f t="shared" si="2"/>
        <v>26</v>
      </c>
      <c r="N17" s="69">
        <f>IFERROR(INDEX(Tabela3[ID_Responsavel], MATCH(O17,Tabela3[[Responsáveis ]], 0)), "Não encontrado")</f>
        <v>7</v>
      </c>
      <c r="O17" s="58" t="s">
        <v>57</v>
      </c>
      <c r="P17" s="59" t="s">
        <v>31</v>
      </c>
      <c r="Q17" s="60" t="s">
        <v>198</v>
      </c>
    </row>
    <row r="18" spans="1:17" ht="16.5">
      <c r="A18" s="117">
        <f>IFERROR(INDEX(Tabela2[ID_Area], MATCH(B18,Tabela2[Area], 0)), "Não encontrado")</f>
        <v>1000</v>
      </c>
      <c r="B18" s="47" t="s">
        <v>54</v>
      </c>
      <c r="C18" s="48" t="s">
        <v>24</v>
      </c>
      <c r="D18" s="62">
        <f>IFERROR(INDEX(Metas!$D$2:$D$104, MATCH(E18,Metas!$E$2:$E$104, 0)), "Não encontrado")</f>
        <v>124</v>
      </c>
      <c r="E18" s="63" t="s">
        <v>60</v>
      </c>
      <c r="F18" s="63" t="s">
        <v>212</v>
      </c>
      <c r="G18" s="62" t="str">
        <f t="shared" ca="1" si="0"/>
        <v>Concluído</v>
      </c>
      <c r="H18" s="70" t="s">
        <v>198</v>
      </c>
      <c r="I18" s="65">
        <v>1</v>
      </c>
      <c r="J18" s="53">
        <f t="shared" si="1"/>
        <v>2.0585267406659939</v>
      </c>
      <c r="K18" s="66">
        <v>45717</v>
      </c>
      <c r="L18" s="67">
        <v>45733</v>
      </c>
      <c r="M18" s="68">
        <f t="shared" si="2"/>
        <v>17</v>
      </c>
      <c r="N18" s="69">
        <f>IFERROR(INDEX(Tabela3[ID_Responsavel], MATCH(O18,Tabela3[[Responsáveis ]], 0)), "Não encontrado")</f>
        <v>7</v>
      </c>
      <c r="O18" s="58" t="s">
        <v>57</v>
      </c>
      <c r="P18" s="59" t="s">
        <v>31</v>
      </c>
      <c r="Q18" s="60" t="s">
        <v>198</v>
      </c>
    </row>
    <row r="19" spans="1:17" ht="16.5">
      <c r="A19" s="113">
        <f>IFERROR(INDEX(Tabela2[ID_Area], MATCH(B19,Tabela2[Area], 0)), "Não encontrado")</f>
        <v>1000</v>
      </c>
      <c r="B19" s="47" t="s">
        <v>54</v>
      </c>
      <c r="C19" s="48" t="s">
        <v>24</v>
      </c>
      <c r="D19" s="62">
        <f>IFERROR(INDEX(Metas!$D$2:$D$104, MATCH(E19,Metas!$E$2:$E$104, 0)), "Não encontrado")</f>
        <v>124</v>
      </c>
      <c r="E19" s="63" t="s">
        <v>60</v>
      </c>
      <c r="F19" s="63" t="s">
        <v>213</v>
      </c>
      <c r="G19" s="62" t="str">
        <f t="shared" ca="1" si="0"/>
        <v>Concluído</v>
      </c>
      <c r="H19" s="70" t="s">
        <v>198</v>
      </c>
      <c r="I19" s="65">
        <v>1</v>
      </c>
      <c r="J19" s="53">
        <f t="shared" si="1"/>
        <v>21.917255297679112</v>
      </c>
      <c r="K19" s="66">
        <v>45734</v>
      </c>
      <c r="L19" s="67">
        <v>45914</v>
      </c>
      <c r="M19" s="68">
        <f t="shared" si="2"/>
        <v>181</v>
      </c>
      <c r="N19" s="69">
        <f>IFERROR(INDEX(Tabela3[ID_Responsavel], MATCH(O19,Tabela3[[Responsáveis ]], 0)), "Não encontrado")</f>
        <v>7</v>
      </c>
      <c r="O19" s="58" t="s">
        <v>57</v>
      </c>
      <c r="P19" s="59" t="s">
        <v>31</v>
      </c>
      <c r="Q19" s="60" t="s">
        <v>198</v>
      </c>
    </row>
    <row r="20" spans="1:17" ht="16.5">
      <c r="A20" s="117">
        <f>IFERROR(INDEX(Tabela2[ID_Area], MATCH(B20,Tabela2[Area], 0)), "Não encontrado")</f>
        <v>1000</v>
      </c>
      <c r="B20" s="47" t="s">
        <v>54</v>
      </c>
      <c r="C20" s="48" t="s">
        <v>24</v>
      </c>
      <c r="D20" s="62">
        <f>IFERROR(INDEX(Metas!$D$2:$D$104, MATCH(E20,Metas!$E$2:$E$104, 0)), "Não encontrado")</f>
        <v>124</v>
      </c>
      <c r="E20" s="63" t="s">
        <v>60</v>
      </c>
      <c r="F20" s="63" t="s">
        <v>214</v>
      </c>
      <c r="G20" s="62" t="str">
        <f t="shared" ca="1" si="0"/>
        <v>Concluído</v>
      </c>
      <c r="H20" s="70" t="s">
        <v>198</v>
      </c>
      <c r="I20" s="65">
        <v>1</v>
      </c>
      <c r="J20" s="53">
        <f t="shared" si="1"/>
        <v>21.917255297679112</v>
      </c>
      <c r="K20" s="66">
        <v>45734</v>
      </c>
      <c r="L20" s="67">
        <v>45914</v>
      </c>
      <c r="M20" s="68">
        <f t="shared" si="2"/>
        <v>181</v>
      </c>
      <c r="N20" s="69">
        <f>IFERROR(INDEX(Tabela3[ID_Responsavel], MATCH(O20,Tabela3[[Responsáveis ]], 0)), "Não encontrado")</f>
        <v>7</v>
      </c>
      <c r="O20" s="58" t="s">
        <v>57</v>
      </c>
      <c r="P20" s="59" t="s">
        <v>31</v>
      </c>
      <c r="Q20" s="60" t="s">
        <v>198</v>
      </c>
    </row>
    <row r="21" spans="1:17" ht="16.5">
      <c r="A21" s="113">
        <f>IFERROR(INDEX(Tabela2[ID_Area], MATCH(B21,Tabela2[Area], 0)), "Não encontrado")</f>
        <v>1000</v>
      </c>
      <c r="B21" s="47" t="s">
        <v>54</v>
      </c>
      <c r="C21" s="48" t="s">
        <v>24</v>
      </c>
      <c r="D21" s="62">
        <f>IFERROR(INDEX(Metas!$D$2:$D$104, MATCH(E21,Metas!$E$2:$E$104, 0)), "Não encontrado")</f>
        <v>124</v>
      </c>
      <c r="E21" s="63" t="s">
        <v>60</v>
      </c>
      <c r="F21" s="63" t="s">
        <v>215</v>
      </c>
      <c r="G21" s="62" t="str">
        <f t="shared" ca="1" si="0"/>
        <v>Concluído</v>
      </c>
      <c r="H21" s="70" t="s">
        <v>198</v>
      </c>
      <c r="I21" s="65">
        <v>1</v>
      </c>
      <c r="J21" s="53">
        <f t="shared" si="1"/>
        <v>27.971745711402626</v>
      </c>
      <c r="K21" s="66">
        <v>45761</v>
      </c>
      <c r="L21" s="67">
        <v>45991</v>
      </c>
      <c r="M21" s="68">
        <f t="shared" si="2"/>
        <v>231</v>
      </c>
      <c r="N21" s="69">
        <f>IFERROR(INDEX(Tabela3[ID_Responsavel], MATCH(O21,Tabela3[[Responsáveis ]], 0)), "Não encontrado")</f>
        <v>7</v>
      </c>
      <c r="O21" s="58" t="s">
        <v>57</v>
      </c>
      <c r="P21" s="59" t="s">
        <v>31</v>
      </c>
      <c r="Q21" s="60" t="s">
        <v>198</v>
      </c>
    </row>
    <row r="22" spans="1:17" ht="16.5">
      <c r="A22" s="117">
        <f>IFERROR(INDEX(Tabela2[ID_Area], MATCH(B22,Tabela2[Area], 0)), "Não encontrado")</f>
        <v>1000</v>
      </c>
      <c r="B22" s="47" t="s">
        <v>54</v>
      </c>
      <c r="C22" s="48" t="s">
        <v>24</v>
      </c>
      <c r="D22" s="62">
        <f>IFERROR(INDEX(Metas!$D$2:$D$104, MATCH(E22,Metas!$E$2:$E$104, 0)), "Não encontrado")</f>
        <v>124</v>
      </c>
      <c r="E22" s="63" t="s">
        <v>60</v>
      </c>
      <c r="F22" s="63" t="s">
        <v>216</v>
      </c>
      <c r="G22" s="62" t="str">
        <f t="shared" ca="1" si="0"/>
        <v>Concluído</v>
      </c>
      <c r="H22" s="70" t="s">
        <v>198</v>
      </c>
      <c r="I22" s="65">
        <v>1</v>
      </c>
      <c r="J22" s="53">
        <f t="shared" si="1"/>
        <v>19.858728557013116</v>
      </c>
      <c r="K22" s="66">
        <v>45782</v>
      </c>
      <c r="L22" s="67">
        <v>45945</v>
      </c>
      <c r="M22" s="68">
        <f t="shared" si="2"/>
        <v>164</v>
      </c>
      <c r="N22" s="69">
        <f>IFERROR(INDEX(Tabela3[ID_Responsavel], MATCH(O22,Tabela3[[Responsáveis ]], 0)), "Não encontrado")</f>
        <v>7</v>
      </c>
      <c r="O22" s="58" t="s">
        <v>57</v>
      </c>
      <c r="P22" s="59" t="s">
        <v>31</v>
      </c>
      <c r="Q22" s="60" t="s">
        <v>198</v>
      </c>
    </row>
    <row r="23" spans="1:17" ht="16.5">
      <c r="A23" s="113">
        <f>IFERROR(INDEX(Tabela2[ID_Area], MATCH(B23,Tabela2[Area], 0)), "Não encontrado")</f>
        <v>1000</v>
      </c>
      <c r="B23" s="47" t="s">
        <v>54</v>
      </c>
      <c r="C23" s="48" t="s">
        <v>24</v>
      </c>
      <c r="D23" s="62">
        <f>IFERROR(INDEX(Metas!$D$2:$D$104, MATCH(E23,Metas!$E$2:$E$104, 0)), "Não encontrado")</f>
        <v>124</v>
      </c>
      <c r="E23" s="63" t="s">
        <v>60</v>
      </c>
      <c r="F23" s="63" t="s">
        <v>217</v>
      </c>
      <c r="G23" s="62" t="str">
        <f t="shared" ca="1" si="0"/>
        <v>Concluído</v>
      </c>
      <c r="H23" s="70" t="s">
        <v>198</v>
      </c>
      <c r="I23" s="65">
        <v>1</v>
      </c>
      <c r="J23" s="53">
        <f t="shared" si="1"/>
        <v>21.311806256306763</v>
      </c>
      <c r="K23" s="66">
        <v>45814</v>
      </c>
      <c r="L23" s="67">
        <v>45989</v>
      </c>
      <c r="M23" s="68">
        <f t="shared" si="2"/>
        <v>176</v>
      </c>
      <c r="N23" s="69">
        <f>IFERROR(INDEX(Tabela3[ID_Responsavel], MATCH(O23,Tabela3[[Responsáveis ]], 0)), "Não encontrado")</f>
        <v>7</v>
      </c>
      <c r="O23" s="58" t="s">
        <v>57</v>
      </c>
      <c r="P23" s="59" t="s">
        <v>31</v>
      </c>
      <c r="Q23" s="60" t="s">
        <v>198</v>
      </c>
    </row>
    <row r="24" spans="1:17" ht="16.5">
      <c r="A24" s="117">
        <f>IFERROR(INDEX(Tabela2[ID_Area], MATCH(B24,Tabela2[Area], 0)), "Não encontrado")</f>
        <v>1000</v>
      </c>
      <c r="B24" s="47" t="s">
        <v>54</v>
      </c>
      <c r="C24" s="48" t="s">
        <v>62</v>
      </c>
      <c r="D24" s="62">
        <f>IFERROR(INDEX(Metas!$D$2:$D$104, MATCH(E24,Metas!$E$2:$E$104, 0)), "Não encontrado")</f>
        <v>126</v>
      </c>
      <c r="E24" s="63" t="s">
        <v>63</v>
      </c>
      <c r="F24" s="63" t="s">
        <v>218</v>
      </c>
      <c r="G24" s="62" t="str">
        <f t="shared" ca="1" si="0"/>
        <v>Concluído</v>
      </c>
      <c r="H24" s="73"/>
      <c r="I24" s="65">
        <v>1</v>
      </c>
      <c r="J24" s="53">
        <f t="shared" si="1"/>
        <v>35.134228187919462</v>
      </c>
      <c r="K24" s="66">
        <v>45663</v>
      </c>
      <c r="L24" s="67">
        <v>46011</v>
      </c>
      <c r="M24" s="68">
        <f t="shared" si="2"/>
        <v>349</v>
      </c>
      <c r="N24" s="69">
        <f>IFERROR(INDEX(Tabela3[ID_Responsavel], MATCH(O24,Tabela3[[Responsáveis ]], 0)), "Não encontrado")</f>
        <v>7</v>
      </c>
      <c r="O24" s="58" t="s">
        <v>57</v>
      </c>
      <c r="P24" s="59" t="s">
        <v>31</v>
      </c>
      <c r="Q24" s="60" t="s">
        <v>219</v>
      </c>
    </row>
    <row r="25" spans="1:17" ht="16.5">
      <c r="A25" s="113">
        <f>IFERROR(INDEX(Tabela2[ID_Area], MATCH(B25,Tabela2[Area], 0)), "Não encontrado")</f>
        <v>1000</v>
      </c>
      <c r="B25" s="47" t="s">
        <v>54</v>
      </c>
      <c r="C25" s="48" t="s">
        <v>62</v>
      </c>
      <c r="D25" s="62">
        <f>IFERROR(INDEX(Metas!$D$2:$D$104, MATCH(E25,Metas!$E$2:$E$104, 0)), "Não encontrado")</f>
        <v>126</v>
      </c>
      <c r="E25" s="63" t="s">
        <v>63</v>
      </c>
      <c r="F25" s="63" t="s">
        <v>220</v>
      </c>
      <c r="G25" s="62" t="str">
        <f t="shared" ca="1" si="0"/>
        <v>Concluído</v>
      </c>
      <c r="H25" s="70" t="s">
        <v>198</v>
      </c>
      <c r="I25" s="65">
        <v>1</v>
      </c>
      <c r="J25" s="53">
        <f t="shared" si="1"/>
        <v>31.409395973154364</v>
      </c>
      <c r="K25" s="66">
        <v>45708</v>
      </c>
      <c r="L25" s="67">
        <v>46019</v>
      </c>
      <c r="M25" s="68">
        <f t="shared" si="2"/>
        <v>312</v>
      </c>
      <c r="N25" s="69">
        <f>IFERROR(INDEX(Tabela3[ID_Responsavel], MATCH(O25,Tabela3[[Responsáveis ]], 0)), "Não encontrado")</f>
        <v>7</v>
      </c>
      <c r="O25" s="58" t="s">
        <v>57</v>
      </c>
      <c r="P25" s="59" t="s">
        <v>31</v>
      </c>
      <c r="Q25" s="60" t="s">
        <v>198</v>
      </c>
    </row>
    <row r="26" spans="1:17" ht="16.5">
      <c r="A26" s="117">
        <f>IFERROR(INDEX(Tabela2[ID_Area], MATCH(B26,Tabela2[Area], 0)), "Não encontrado")</f>
        <v>1000</v>
      </c>
      <c r="B26" s="47" t="s">
        <v>54</v>
      </c>
      <c r="C26" s="48" t="s">
        <v>62</v>
      </c>
      <c r="D26" s="62">
        <f>IFERROR(INDEX(Metas!$D$2:$D$104, MATCH(E26,Metas!$E$2:$E$104, 0)), "Não encontrado")</f>
        <v>126</v>
      </c>
      <c r="E26" s="63" t="s">
        <v>63</v>
      </c>
      <c r="F26" s="63" t="s">
        <v>221</v>
      </c>
      <c r="G26" s="62" t="str">
        <f t="shared" ca="1" si="0"/>
        <v>Concluído</v>
      </c>
      <c r="H26" s="70" t="s">
        <v>198</v>
      </c>
      <c r="I26" s="65">
        <v>1</v>
      </c>
      <c r="J26" s="53">
        <f t="shared" si="1"/>
        <v>30.503355704697988</v>
      </c>
      <c r="K26" s="66">
        <v>45717</v>
      </c>
      <c r="L26" s="67">
        <v>46019</v>
      </c>
      <c r="M26" s="68">
        <f t="shared" si="2"/>
        <v>303</v>
      </c>
      <c r="N26" s="69">
        <f>IFERROR(INDEX(Tabela3[ID_Responsavel], MATCH(O26,Tabela3[[Responsáveis ]], 0)), "Não encontrado")</f>
        <v>7</v>
      </c>
      <c r="O26" s="58" t="s">
        <v>57</v>
      </c>
      <c r="P26" s="59" t="s">
        <v>31</v>
      </c>
      <c r="Q26" s="60" t="s">
        <v>198</v>
      </c>
    </row>
    <row r="27" spans="1:17" ht="16.5">
      <c r="A27" s="113">
        <f>IFERROR(INDEX(Tabela2[ID_Area], MATCH(B27,Tabela2[Area], 0)), "Não encontrado")</f>
        <v>1000</v>
      </c>
      <c r="B27" s="47" t="s">
        <v>54</v>
      </c>
      <c r="C27" s="48" t="s">
        <v>62</v>
      </c>
      <c r="D27" s="62">
        <f>IFERROR(INDEX(Metas!$D$2:$D$104, MATCH(E27,Metas!$E$2:$E$104, 0)), "Não encontrado")</f>
        <v>126</v>
      </c>
      <c r="E27" s="63" t="s">
        <v>63</v>
      </c>
      <c r="F27" s="63" t="s">
        <v>222</v>
      </c>
      <c r="G27" s="62" t="str">
        <f t="shared" ca="1" si="0"/>
        <v>Concluído</v>
      </c>
      <c r="H27" s="70" t="s">
        <v>198</v>
      </c>
      <c r="I27" s="65">
        <v>1</v>
      </c>
      <c r="J27" s="53">
        <f t="shared" si="1"/>
        <v>19.127516778523489</v>
      </c>
      <c r="K27" s="66">
        <v>45741</v>
      </c>
      <c r="L27" s="67">
        <v>45930</v>
      </c>
      <c r="M27" s="68">
        <f t="shared" si="2"/>
        <v>190</v>
      </c>
      <c r="N27" s="69">
        <f>IFERROR(INDEX(Tabela3[ID_Responsavel], MATCH(O27,Tabela3[[Responsáveis ]], 0)), "Não encontrado")</f>
        <v>7</v>
      </c>
      <c r="O27" s="58" t="s">
        <v>57</v>
      </c>
      <c r="P27" s="59" t="s">
        <v>31</v>
      </c>
      <c r="Q27" s="60" t="s">
        <v>198</v>
      </c>
    </row>
    <row r="28" spans="1:17" ht="16.5">
      <c r="A28" s="117">
        <f>IFERROR(INDEX(Tabela2[ID_Area], MATCH(B28,Tabela2[Area], 0)), "Não encontrado")</f>
        <v>1000</v>
      </c>
      <c r="B28" s="47" t="s">
        <v>54</v>
      </c>
      <c r="C28" s="48" t="s">
        <v>62</v>
      </c>
      <c r="D28" s="62">
        <f>IFERROR(INDEX(Metas!$D$2:$D$104, MATCH(E28,Metas!$E$2:$E$104, 0)), "Não encontrado")</f>
        <v>126</v>
      </c>
      <c r="E28" s="63" t="s">
        <v>63</v>
      </c>
      <c r="F28" s="63" t="s">
        <v>223</v>
      </c>
      <c r="G28" s="62" t="str">
        <f t="shared" ca="1" si="0"/>
        <v>Concluído</v>
      </c>
      <c r="H28" s="70" t="s">
        <v>198</v>
      </c>
      <c r="I28" s="65">
        <v>1</v>
      </c>
      <c r="J28" s="53">
        <f t="shared" si="1"/>
        <v>1.9127516778523492</v>
      </c>
      <c r="K28" s="66">
        <v>45936</v>
      </c>
      <c r="L28" s="67">
        <v>45954</v>
      </c>
      <c r="M28" s="68">
        <f t="shared" si="2"/>
        <v>19</v>
      </c>
      <c r="N28" s="69">
        <f>IFERROR(INDEX(Tabela3[ID_Responsavel], MATCH(O28,Tabela3[[Responsáveis ]], 0)), "Não encontrado")</f>
        <v>7</v>
      </c>
      <c r="O28" s="58" t="s">
        <v>57</v>
      </c>
      <c r="P28" s="59" t="s">
        <v>31</v>
      </c>
      <c r="Q28" s="60" t="s">
        <v>198</v>
      </c>
    </row>
    <row r="29" spans="1:17" ht="16.5">
      <c r="A29" s="113">
        <f>IFERROR(INDEX(Tabela2[ID_Area], MATCH(B29,Tabela2[Area], 0)), "Não encontrado")</f>
        <v>1000</v>
      </c>
      <c r="B29" s="47" t="s">
        <v>54</v>
      </c>
      <c r="C29" s="48" t="s">
        <v>62</v>
      </c>
      <c r="D29" s="62">
        <f>IFERROR(INDEX(Metas!$D$2:$D$104, MATCH(E29,Metas!$E$2:$E$104, 0)), "Não encontrado")</f>
        <v>126</v>
      </c>
      <c r="E29" s="63" t="s">
        <v>63</v>
      </c>
      <c r="F29" s="63" t="s">
        <v>224</v>
      </c>
      <c r="G29" s="62" t="str">
        <f t="shared" ca="1" si="0"/>
        <v>Concluído</v>
      </c>
      <c r="H29" s="70" t="s">
        <v>198</v>
      </c>
      <c r="I29" s="65">
        <v>1</v>
      </c>
      <c r="J29" s="53">
        <f t="shared" si="1"/>
        <v>1.9127516778523492</v>
      </c>
      <c r="K29" s="66">
        <v>45992</v>
      </c>
      <c r="L29" s="67">
        <v>46010</v>
      </c>
      <c r="M29" s="68">
        <f t="shared" si="2"/>
        <v>19</v>
      </c>
      <c r="N29" s="69">
        <f>IFERROR(INDEX(Tabela3[ID_Responsavel], MATCH(O29,Tabela3[[Responsáveis ]], 0)), "Não encontrado")</f>
        <v>7</v>
      </c>
      <c r="O29" s="58" t="s">
        <v>57</v>
      </c>
      <c r="P29" s="59" t="s">
        <v>31</v>
      </c>
      <c r="Q29" s="60" t="s">
        <v>198</v>
      </c>
    </row>
    <row r="30" spans="1:17" ht="16.5">
      <c r="A30" s="117">
        <f>IFERROR(INDEX(Tabela2[ID_Area], MATCH(B30,Tabela2[Area], 0)), "Não encontrado")</f>
        <v>1000</v>
      </c>
      <c r="B30" s="47" t="s">
        <v>54</v>
      </c>
      <c r="C30" s="48" t="s">
        <v>62</v>
      </c>
      <c r="D30" s="62">
        <f>IFERROR(INDEX(Metas!$D$2:$D$104, MATCH(E30,Metas!$E$2:$E$104, 0)), "Não encontrado")</f>
        <v>127</v>
      </c>
      <c r="E30" s="63" t="s">
        <v>64</v>
      </c>
      <c r="F30" s="63" t="s">
        <v>225</v>
      </c>
      <c r="G30" s="62" t="str">
        <f t="shared" ca="1" si="0"/>
        <v>Atrasado</v>
      </c>
      <c r="H30" s="70" t="s">
        <v>198</v>
      </c>
      <c r="I30" s="65">
        <v>0.01</v>
      </c>
      <c r="J30" s="53">
        <f t="shared" si="1"/>
        <v>54.086727989487514</v>
      </c>
      <c r="K30" s="66">
        <v>45677</v>
      </c>
      <c r="L30" s="67">
        <v>46019</v>
      </c>
      <c r="M30" s="68">
        <f t="shared" si="2"/>
        <v>343</v>
      </c>
      <c r="N30" s="69">
        <f>IFERROR(INDEX(Tabela3[ID_Responsavel], MATCH(O30,Tabela3[[Responsáveis ]], 0)), "Não encontrado")</f>
        <v>7</v>
      </c>
      <c r="O30" s="58" t="s">
        <v>57</v>
      </c>
      <c r="P30" s="59" t="s">
        <v>31</v>
      </c>
      <c r="Q30" s="60" t="s">
        <v>198</v>
      </c>
    </row>
    <row r="31" spans="1:17" ht="16.5">
      <c r="A31" s="113">
        <f>IFERROR(INDEX(Tabela2[ID_Area], MATCH(B31,Tabela2[Area], 0)), "Não encontrado")</f>
        <v>1000</v>
      </c>
      <c r="B31" s="47" t="s">
        <v>54</v>
      </c>
      <c r="C31" s="48" t="s">
        <v>62</v>
      </c>
      <c r="D31" s="62">
        <f>IFERROR(INDEX(Metas!$D$2:$D$104, MATCH(E31,Metas!$E$2:$E$104, 0)), "Não encontrado")</f>
        <v>127</v>
      </c>
      <c r="E31" s="63" t="s">
        <v>64</v>
      </c>
      <c r="F31" s="63" t="s">
        <v>226</v>
      </c>
      <c r="G31" s="62" t="str">
        <f t="shared" ca="1" si="0"/>
        <v>Atrasado</v>
      </c>
      <c r="H31" s="70" t="s">
        <v>198</v>
      </c>
      <c r="I31" s="65">
        <v>0</v>
      </c>
      <c r="J31" s="53">
        <f t="shared" si="1"/>
        <v>50.775295663600524</v>
      </c>
      <c r="K31" s="66">
        <v>45698</v>
      </c>
      <c r="L31" s="67">
        <v>46019</v>
      </c>
      <c r="M31" s="68">
        <f t="shared" si="2"/>
        <v>322</v>
      </c>
      <c r="N31" s="69">
        <f>IFERROR(INDEX(Tabela3[ID_Responsavel], MATCH(O31,Tabela3[[Responsáveis ]], 0)), "Não encontrado")</f>
        <v>7</v>
      </c>
      <c r="O31" s="58" t="s">
        <v>57</v>
      </c>
      <c r="P31" s="59" t="s">
        <v>31</v>
      </c>
      <c r="Q31" s="60" t="s">
        <v>198</v>
      </c>
    </row>
    <row r="32" spans="1:17" ht="16.5">
      <c r="A32" s="117">
        <f>IFERROR(INDEX(Tabela2[ID_Area], MATCH(B32,Tabela2[Area], 0)), "Não encontrado")</f>
        <v>1000</v>
      </c>
      <c r="B32" s="47" t="s">
        <v>54</v>
      </c>
      <c r="C32" s="48" t="s">
        <v>62</v>
      </c>
      <c r="D32" s="62">
        <f>IFERROR(INDEX(Metas!$D$2:$D$104, MATCH(E32,Metas!$E$2:$E$104, 0)), "Não encontrado")</f>
        <v>127</v>
      </c>
      <c r="E32" s="63" t="s">
        <v>64</v>
      </c>
      <c r="F32" s="63" t="s">
        <v>227</v>
      </c>
      <c r="G32" s="62" t="str">
        <f t="shared" ca="1" si="0"/>
        <v>Atrasado</v>
      </c>
      <c r="H32" s="70" t="s">
        <v>198</v>
      </c>
      <c r="I32" s="65">
        <v>0</v>
      </c>
      <c r="J32" s="53">
        <f t="shared" si="1"/>
        <v>7.7266754270696456</v>
      </c>
      <c r="K32" s="66">
        <v>45964</v>
      </c>
      <c r="L32" s="67">
        <v>46012</v>
      </c>
      <c r="M32" s="68">
        <f t="shared" si="2"/>
        <v>49</v>
      </c>
      <c r="N32" s="69">
        <f>IFERROR(INDEX(Tabela3[ID_Responsavel], MATCH(O32,Tabela3[[Responsáveis ]], 0)), "Não encontrado")</f>
        <v>7</v>
      </c>
      <c r="O32" s="58" t="s">
        <v>57</v>
      </c>
      <c r="P32" s="59" t="s">
        <v>31</v>
      </c>
      <c r="Q32" s="60" t="s">
        <v>198</v>
      </c>
    </row>
    <row r="33" spans="1:17" ht="16.5">
      <c r="A33" s="113">
        <f>IFERROR(INDEX(Tabela2[ID_Area], MATCH(B33,Tabela2[Area], 0)), "Não encontrado")</f>
        <v>1000</v>
      </c>
      <c r="B33" s="47" t="s">
        <v>54</v>
      </c>
      <c r="C33" s="48" t="s">
        <v>62</v>
      </c>
      <c r="D33" s="62">
        <f>IFERROR(INDEX(Metas!$D$2:$D$104, MATCH(E33,Metas!$E$2:$E$104, 0)), "Não encontrado")</f>
        <v>127</v>
      </c>
      <c r="E33" s="63" t="s">
        <v>64</v>
      </c>
      <c r="F33" s="63" t="s">
        <v>228</v>
      </c>
      <c r="G33" s="62" t="str">
        <f t="shared" ca="1" si="0"/>
        <v>Atrasado</v>
      </c>
      <c r="H33" s="70" t="s">
        <v>198</v>
      </c>
      <c r="I33" s="65">
        <v>0</v>
      </c>
      <c r="J33" s="53">
        <f t="shared" si="1"/>
        <v>7.4113009198423123</v>
      </c>
      <c r="K33" s="66">
        <v>45964</v>
      </c>
      <c r="L33" s="67">
        <v>46010</v>
      </c>
      <c r="M33" s="68">
        <f t="shared" si="2"/>
        <v>47</v>
      </c>
      <c r="N33" s="69">
        <f>IFERROR(INDEX(Tabela3[ID_Responsavel], MATCH(O33,Tabela3[[Responsáveis ]], 0)), "Não encontrado")</f>
        <v>7</v>
      </c>
      <c r="O33" s="58" t="s">
        <v>57</v>
      </c>
      <c r="P33" s="59" t="s">
        <v>31</v>
      </c>
      <c r="Q33" s="60" t="s">
        <v>198</v>
      </c>
    </row>
    <row r="34" spans="1:17" ht="16.5">
      <c r="A34" s="117">
        <f>IFERROR(INDEX(Tabela2[ID_Area], MATCH(B34,Tabela2[Area], 0)), "Não encontrado")</f>
        <v>1000</v>
      </c>
      <c r="B34" s="47" t="s">
        <v>54</v>
      </c>
      <c r="C34" s="48" t="s">
        <v>62</v>
      </c>
      <c r="D34" s="62">
        <f>IFERROR(INDEX(Metas!$D$2:$D$104, MATCH(E34,Metas!$E$2:$E$104, 0)), "Não encontrado")</f>
        <v>128</v>
      </c>
      <c r="E34" s="63" t="s">
        <v>65</v>
      </c>
      <c r="F34" s="63" t="s">
        <v>225</v>
      </c>
      <c r="G34" s="62" t="str">
        <f t="shared" ca="1" si="0"/>
        <v>Concluído</v>
      </c>
      <c r="H34" s="70" t="s">
        <v>198</v>
      </c>
      <c r="I34" s="65">
        <v>1</v>
      </c>
      <c r="J34" s="53">
        <f t="shared" si="1"/>
        <v>56.306429548563614</v>
      </c>
      <c r="K34" s="66">
        <v>45677</v>
      </c>
      <c r="L34" s="67">
        <v>46019</v>
      </c>
      <c r="M34" s="68">
        <f t="shared" ref="M34:M50" si="3" xml:space="preserve"> L34 - K34 + 1</f>
        <v>343</v>
      </c>
      <c r="N34" s="69">
        <f>IFERROR(INDEX(Tabela3[ID_Responsavel], MATCH(O34,Tabela3[[Responsáveis ]], 0)), "Não encontrado")</f>
        <v>7</v>
      </c>
      <c r="O34" s="58" t="s">
        <v>57</v>
      </c>
      <c r="P34" s="59" t="s">
        <v>31</v>
      </c>
      <c r="Q34" s="60" t="s">
        <v>198</v>
      </c>
    </row>
    <row r="35" spans="1:17" ht="16.5">
      <c r="A35" s="113">
        <f>IFERROR(INDEX(Tabela2[ID_Area], MATCH(B35,Tabela2[Area], 0)), "Não encontrado")</f>
        <v>1000</v>
      </c>
      <c r="B35" s="47" t="s">
        <v>54</v>
      </c>
      <c r="C35" s="48" t="s">
        <v>62</v>
      </c>
      <c r="D35" s="62">
        <f>IFERROR(INDEX(Metas!$D$2:$D$104, MATCH(E35,Metas!$E$2:$E$104, 0)), "Não encontrado")</f>
        <v>128</v>
      </c>
      <c r="E35" s="63" t="s">
        <v>65</v>
      </c>
      <c r="F35" s="63" t="s">
        <v>226</v>
      </c>
      <c r="G35" s="62" t="str">
        <f t="shared" ca="1" si="0"/>
        <v>Atrasado</v>
      </c>
      <c r="H35" s="70" t="s">
        <v>198</v>
      </c>
      <c r="I35" s="65">
        <v>0.5</v>
      </c>
      <c r="J35" s="53">
        <f t="shared" si="1"/>
        <v>52.859097127222988</v>
      </c>
      <c r="K35" s="66">
        <v>45698</v>
      </c>
      <c r="L35" s="67">
        <v>46019</v>
      </c>
      <c r="M35" s="68">
        <f t="shared" si="3"/>
        <v>322</v>
      </c>
      <c r="N35" s="69">
        <f>IFERROR(INDEX(Tabela3[ID_Responsavel], MATCH(O35,Tabela3[[Responsáveis ]], 0)), "Não encontrado")</f>
        <v>7</v>
      </c>
      <c r="O35" s="58" t="s">
        <v>57</v>
      </c>
      <c r="P35" s="59" t="s">
        <v>31</v>
      </c>
      <c r="Q35" s="60" t="s">
        <v>198</v>
      </c>
    </row>
    <row r="36" spans="1:17" ht="16.5">
      <c r="A36" s="117">
        <f>IFERROR(INDEX(Tabela2[ID_Area], MATCH(B36,Tabela2[Area], 0)), "Não encontrado")</f>
        <v>1000</v>
      </c>
      <c r="B36" s="47" t="s">
        <v>54</v>
      </c>
      <c r="C36" s="48" t="s">
        <v>62</v>
      </c>
      <c r="D36" s="62">
        <f>IFERROR(INDEX(Metas!$D$2:$D$104, MATCH(E36,Metas!$E$2:$E$104, 0)), "Não encontrado")</f>
        <v>128</v>
      </c>
      <c r="E36" s="63" t="s">
        <v>65</v>
      </c>
      <c r="F36" s="63" t="s">
        <v>227</v>
      </c>
      <c r="G36" s="62" t="str">
        <f t="shared" ca="1" si="0"/>
        <v>Atrasado</v>
      </c>
      <c r="H36" s="70" t="s">
        <v>198</v>
      </c>
      <c r="I36" s="65">
        <v>0</v>
      </c>
      <c r="J36" s="53">
        <f t="shared" si="1"/>
        <v>3.1190150478796168</v>
      </c>
      <c r="K36" s="66">
        <v>45964</v>
      </c>
      <c r="L36" s="67">
        <v>45982</v>
      </c>
      <c r="M36" s="68">
        <f t="shared" si="3"/>
        <v>19</v>
      </c>
      <c r="N36" s="69">
        <f>IFERROR(INDEX(Tabela3[ID_Responsavel], MATCH(O36,Tabela3[[Responsáveis ]], 0)), "Não encontrado")</f>
        <v>7</v>
      </c>
      <c r="O36" s="58" t="s">
        <v>57</v>
      </c>
      <c r="P36" s="59" t="s">
        <v>31</v>
      </c>
      <c r="Q36" s="60" t="s">
        <v>198</v>
      </c>
    </row>
    <row r="37" spans="1:17" ht="16.5">
      <c r="A37" s="113">
        <f>IFERROR(INDEX(Tabela2[ID_Area], MATCH(B37,Tabela2[Area], 0)), "Não encontrado")</f>
        <v>1000</v>
      </c>
      <c r="B37" s="47" t="s">
        <v>54</v>
      </c>
      <c r="C37" s="48" t="s">
        <v>62</v>
      </c>
      <c r="D37" s="62">
        <f>IFERROR(INDEX(Metas!$D$2:$D$104, MATCH(E37,Metas!$E$2:$E$104, 0)), "Não encontrado")</f>
        <v>128</v>
      </c>
      <c r="E37" s="63" t="s">
        <v>65</v>
      </c>
      <c r="F37" s="63" t="s">
        <v>228</v>
      </c>
      <c r="G37" s="62" t="str">
        <f t="shared" ca="1" si="0"/>
        <v>Atrasado</v>
      </c>
      <c r="H37" s="70" t="s">
        <v>198</v>
      </c>
      <c r="I37" s="65">
        <v>0</v>
      </c>
      <c r="J37" s="53">
        <f t="shared" si="1"/>
        <v>7.7154582763337896</v>
      </c>
      <c r="K37" s="66">
        <v>45964</v>
      </c>
      <c r="L37" s="67">
        <v>46010</v>
      </c>
      <c r="M37" s="68">
        <f t="shared" si="3"/>
        <v>47</v>
      </c>
      <c r="N37" s="69">
        <f>IFERROR(INDEX(Tabela3[ID_Responsavel], MATCH(O37,Tabela3[[Responsáveis ]], 0)), "Não encontrado")</f>
        <v>7</v>
      </c>
      <c r="O37" s="58" t="s">
        <v>57</v>
      </c>
      <c r="P37" s="59" t="s">
        <v>31</v>
      </c>
      <c r="Q37" s="60" t="s">
        <v>198</v>
      </c>
    </row>
    <row r="38" spans="1:17" ht="16.5">
      <c r="A38" s="117">
        <f>IFERROR(INDEX(Tabela2[ID_Area], MATCH(B38,Tabela2[Area], 0)), "Não encontrado")</f>
        <v>1000</v>
      </c>
      <c r="B38" s="47" t="s">
        <v>54</v>
      </c>
      <c r="C38" s="48" t="s">
        <v>55</v>
      </c>
      <c r="D38" s="62">
        <f>IFERROR(INDEX(Metas!$D$2:$D$104, MATCH(E38,Metas!$E$2:$E$104, 0)), "Não encontrado")</f>
        <v>121</v>
      </c>
      <c r="E38" s="63" t="s">
        <v>56</v>
      </c>
      <c r="F38" s="63" t="s">
        <v>229</v>
      </c>
      <c r="G38" s="62" t="str">
        <f t="shared" ca="1" si="0"/>
        <v>Concluído</v>
      </c>
      <c r="H38" s="64">
        <v>45695</v>
      </c>
      <c r="I38" s="65">
        <v>1</v>
      </c>
      <c r="J38" s="53">
        <f t="shared" si="1"/>
        <v>1.4302191464821221</v>
      </c>
      <c r="K38" s="66">
        <v>45658</v>
      </c>
      <c r="L38" s="67">
        <v>45688</v>
      </c>
      <c r="M38" s="68">
        <f t="shared" si="3"/>
        <v>31</v>
      </c>
      <c r="N38" s="69">
        <f>IFERROR(INDEX(Tabela3[ID_Responsavel], MATCH(O38,Tabela3[[Responsáveis ]], 0)), "Não encontrado")</f>
        <v>7</v>
      </c>
      <c r="O38" s="58" t="s">
        <v>57</v>
      </c>
      <c r="P38" s="59" t="s">
        <v>19</v>
      </c>
      <c r="Q38" s="60" t="s">
        <v>230</v>
      </c>
    </row>
    <row r="39" spans="1:17" ht="16.5">
      <c r="A39" s="113">
        <f>IFERROR(INDEX(Tabela2[ID_Area], MATCH(B39,Tabela2[Area], 0)), "Não encontrado")</f>
        <v>1000</v>
      </c>
      <c r="B39" s="47" t="s">
        <v>54</v>
      </c>
      <c r="C39" s="48" t="s">
        <v>55</v>
      </c>
      <c r="D39" s="62">
        <f>IFERROR(INDEX(Metas!$D$2:$D$104, MATCH(E39,Metas!$E$2:$E$104, 0)), "Não encontrado")</f>
        <v>121</v>
      </c>
      <c r="E39" s="63" t="s">
        <v>56</v>
      </c>
      <c r="F39" s="63" t="s">
        <v>231</v>
      </c>
      <c r="G39" s="62" t="str">
        <f t="shared" ca="1" si="0"/>
        <v>Concluído</v>
      </c>
      <c r="H39" s="70" t="s">
        <v>198</v>
      </c>
      <c r="I39" s="65">
        <v>1</v>
      </c>
      <c r="J39" s="53">
        <f t="shared" si="1"/>
        <v>15.271049596309114</v>
      </c>
      <c r="K39" s="66">
        <v>45689</v>
      </c>
      <c r="L39" s="67">
        <v>46019</v>
      </c>
      <c r="M39" s="68">
        <f t="shared" si="3"/>
        <v>331</v>
      </c>
      <c r="N39" s="69">
        <f>IFERROR(INDEX(Tabela3[ID_Responsavel], MATCH(O39,Tabela3[[Responsáveis ]], 0)), "Não encontrado")</f>
        <v>7</v>
      </c>
      <c r="O39" s="58" t="s">
        <v>57</v>
      </c>
      <c r="P39" s="59" t="s">
        <v>19</v>
      </c>
      <c r="Q39" s="60" t="s">
        <v>198</v>
      </c>
    </row>
    <row r="40" spans="1:17" ht="16.5">
      <c r="A40" s="117">
        <f>IFERROR(INDEX(Tabela2[ID_Area], MATCH(B40,Tabela2[Area], 0)), "Não encontrado")</f>
        <v>1000</v>
      </c>
      <c r="B40" s="47" t="s">
        <v>54</v>
      </c>
      <c r="C40" s="48" t="s">
        <v>55</v>
      </c>
      <c r="D40" s="62">
        <f>IFERROR(INDEX(Metas!$D$2:$D$104, MATCH(E40,Metas!$E$2:$E$104, 0)), "Não encontrado")</f>
        <v>121</v>
      </c>
      <c r="E40" s="63" t="s">
        <v>56</v>
      </c>
      <c r="F40" s="63" t="s">
        <v>232</v>
      </c>
      <c r="G40" s="62" t="str">
        <f t="shared" ca="1" si="0"/>
        <v>Concluído</v>
      </c>
      <c r="H40" s="70" t="s">
        <v>198</v>
      </c>
      <c r="I40" s="65">
        <v>1</v>
      </c>
      <c r="J40" s="53">
        <f t="shared" si="1"/>
        <v>13.979238754325259</v>
      </c>
      <c r="K40" s="66">
        <v>45717</v>
      </c>
      <c r="L40" s="67">
        <v>46019</v>
      </c>
      <c r="M40" s="68">
        <f t="shared" si="3"/>
        <v>303</v>
      </c>
      <c r="N40" s="69">
        <f>IFERROR(INDEX(Tabela3[ID_Responsavel], MATCH(O40,Tabela3[[Responsáveis ]], 0)), "Não encontrado")</f>
        <v>7</v>
      </c>
      <c r="O40" s="58" t="s">
        <v>57</v>
      </c>
      <c r="P40" s="59" t="s">
        <v>19</v>
      </c>
      <c r="Q40" s="60" t="s">
        <v>198</v>
      </c>
    </row>
    <row r="41" spans="1:17" ht="16.5">
      <c r="A41" s="113">
        <f>IFERROR(INDEX(Tabela2[ID_Area], MATCH(B41,Tabela2[Area], 0)), "Não encontrado")</f>
        <v>1000</v>
      </c>
      <c r="B41" s="47" t="s">
        <v>54</v>
      </c>
      <c r="C41" s="48" t="s">
        <v>55</v>
      </c>
      <c r="D41" s="62">
        <f>IFERROR(INDEX(Metas!$D$2:$D$104, MATCH(E41,Metas!$E$2:$E$104, 0)), "Não encontrado")</f>
        <v>121</v>
      </c>
      <c r="E41" s="63" t="s">
        <v>56</v>
      </c>
      <c r="F41" s="63" t="s">
        <v>233</v>
      </c>
      <c r="G41" s="62" t="str">
        <f t="shared" ca="1" si="0"/>
        <v>Concluído</v>
      </c>
      <c r="H41" s="70" t="s">
        <v>198</v>
      </c>
      <c r="I41" s="65">
        <v>1</v>
      </c>
      <c r="J41" s="53">
        <f t="shared" si="1"/>
        <v>28.881199538638985</v>
      </c>
      <c r="K41" s="66">
        <v>45731</v>
      </c>
      <c r="L41" s="67">
        <v>46356</v>
      </c>
      <c r="M41" s="68">
        <f t="shared" si="3"/>
        <v>626</v>
      </c>
      <c r="N41" s="69">
        <f>IFERROR(INDEX(Tabela3[ID_Responsavel], MATCH(O41,Tabela3[[Responsáveis ]], 0)), "Não encontrado")</f>
        <v>7</v>
      </c>
      <c r="O41" s="58" t="s">
        <v>57</v>
      </c>
      <c r="P41" s="59" t="s">
        <v>19</v>
      </c>
      <c r="Q41" s="60" t="s">
        <v>198</v>
      </c>
    </row>
    <row r="42" spans="1:17" ht="16.5">
      <c r="A42" s="117">
        <f>IFERROR(INDEX(Tabela2[ID_Area], MATCH(B42,Tabela2[Area], 0)), "Não encontrado")</f>
        <v>1000</v>
      </c>
      <c r="B42" s="47" t="s">
        <v>54</v>
      </c>
      <c r="C42" s="48" t="s">
        <v>55</v>
      </c>
      <c r="D42" s="62">
        <f>IFERROR(INDEX(Metas!$D$2:$D$104, MATCH(E42,Metas!$E$2:$E$104, 0)), "Não encontrado")</f>
        <v>121</v>
      </c>
      <c r="E42" s="63" t="s">
        <v>56</v>
      </c>
      <c r="F42" s="63" t="s">
        <v>234</v>
      </c>
      <c r="G42" s="62" t="str">
        <f t="shared" ca="1" si="0"/>
        <v>Concluído</v>
      </c>
      <c r="H42" s="70" t="s">
        <v>198</v>
      </c>
      <c r="I42" s="65">
        <v>1</v>
      </c>
      <c r="J42" s="53">
        <f t="shared" si="1"/>
        <v>20.346020761245672</v>
      </c>
      <c r="K42" s="66">
        <v>45931</v>
      </c>
      <c r="L42" s="67">
        <v>46371</v>
      </c>
      <c r="M42" s="68">
        <f t="shared" si="3"/>
        <v>441</v>
      </c>
      <c r="N42" s="69">
        <f>IFERROR(INDEX(Tabela3[ID_Responsavel], MATCH(O42,Tabela3[[Responsáveis ]], 0)), "Não encontrado")</f>
        <v>7</v>
      </c>
      <c r="O42" s="58" t="s">
        <v>57</v>
      </c>
      <c r="P42" s="59" t="s">
        <v>19</v>
      </c>
      <c r="Q42" s="60" t="s">
        <v>198</v>
      </c>
    </row>
    <row r="43" spans="1:17" ht="16.5">
      <c r="A43" s="113">
        <f>IFERROR(INDEX(Tabela2[ID_Area], MATCH(B43,Tabela2[Area], 0)), "Não encontrado")</f>
        <v>1000</v>
      </c>
      <c r="B43" s="47" t="s">
        <v>54</v>
      </c>
      <c r="C43" s="48" t="s">
        <v>55</v>
      </c>
      <c r="D43" s="62">
        <f>IFERROR(INDEX(Metas!$D$2:$D$104, MATCH(E43,Metas!$E$2:$E$104, 0)), "Não encontrado")</f>
        <v>121</v>
      </c>
      <c r="E43" s="63" t="s">
        <v>56</v>
      </c>
      <c r="F43" s="63" t="s">
        <v>235</v>
      </c>
      <c r="G43" s="62" t="str">
        <f t="shared" ca="1" si="0"/>
        <v>Concluído</v>
      </c>
      <c r="H43" s="70" t="s">
        <v>198</v>
      </c>
      <c r="I43" s="65">
        <v>1</v>
      </c>
      <c r="J43" s="53">
        <f t="shared" si="1"/>
        <v>20.161476355247981</v>
      </c>
      <c r="K43" s="66">
        <v>45937</v>
      </c>
      <c r="L43" s="67">
        <v>46373</v>
      </c>
      <c r="M43" s="68">
        <f t="shared" si="3"/>
        <v>437</v>
      </c>
      <c r="N43" s="69">
        <f>IFERROR(INDEX(Tabela3[ID_Responsavel], MATCH(O43,Tabela3[[Responsáveis ]], 0)), "Não encontrado")</f>
        <v>7</v>
      </c>
      <c r="O43" s="58" t="s">
        <v>57</v>
      </c>
      <c r="P43" s="59" t="s">
        <v>19</v>
      </c>
      <c r="Q43" s="60" t="s">
        <v>198</v>
      </c>
    </row>
    <row r="44" spans="1:17" ht="16.5">
      <c r="A44" s="117">
        <f>IFERROR(INDEX(Tabela2[ID_Area], MATCH(B44,Tabela2[Area], 0)), "Não encontrado")</f>
        <v>1000</v>
      </c>
      <c r="B44" s="47" t="s">
        <v>54</v>
      </c>
      <c r="C44" s="48" t="s">
        <v>55</v>
      </c>
      <c r="D44" s="62">
        <f>IFERROR(INDEX(Metas!$D$2:$D$104, MATCH(E44,Metas!$E$2:$E$104, 0)), "Não encontrado")</f>
        <v>121</v>
      </c>
      <c r="E44" s="63" t="s">
        <v>56</v>
      </c>
      <c r="F44" s="63" t="s">
        <v>236</v>
      </c>
      <c r="G44" s="62" t="str">
        <f t="shared" ca="1" si="0"/>
        <v>Concluído</v>
      </c>
      <c r="H44" s="70" t="s">
        <v>198</v>
      </c>
      <c r="I44" s="65">
        <v>1</v>
      </c>
      <c r="J44" s="53">
        <f t="shared" si="1"/>
        <v>19.930795847750865</v>
      </c>
      <c r="K44" s="66">
        <v>45945</v>
      </c>
      <c r="L44" s="67">
        <v>46376</v>
      </c>
      <c r="M44" s="68">
        <f t="shared" si="3"/>
        <v>432</v>
      </c>
      <c r="N44" s="69">
        <f>IFERROR(INDEX(Tabela3[ID_Responsavel], MATCH(O44,Tabela3[[Responsáveis ]], 0)), "Não encontrado")</f>
        <v>7</v>
      </c>
      <c r="O44" s="58" t="s">
        <v>57</v>
      </c>
      <c r="P44" s="59" t="s">
        <v>19</v>
      </c>
      <c r="Q44" s="60" t="s">
        <v>198</v>
      </c>
    </row>
    <row r="45" spans="1:17" ht="16.5">
      <c r="A45" s="113">
        <f>IFERROR(INDEX(Tabela2[ID_Area], MATCH(B45,Tabela2[Area], 0)), "Não encontrado")</f>
        <v>1000</v>
      </c>
      <c r="B45" s="47" t="s">
        <v>54</v>
      </c>
      <c r="C45" s="48" t="s">
        <v>55</v>
      </c>
      <c r="D45" s="62">
        <f>IFERROR(INDEX(Metas!$D$2:$D$104, MATCH(E45,Metas!$E$2:$E$104, 0)), "Não encontrado")</f>
        <v>122</v>
      </c>
      <c r="E45" s="63" t="s">
        <v>58</v>
      </c>
      <c r="F45" s="63" t="s">
        <v>229</v>
      </c>
      <c r="G45" s="62" t="str">
        <f t="shared" ca="1" si="0"/>
        <v>Concluído</v>
      </c>
      <c r="H45" s="74" t="s">
        <v>198</v>
      </c>
      <c r="I45" s="75">
        <v>1</v>
      </c>
      <c r="J45" s="53">
        <f t="shared" si="1"/>
        <v>15.978260869565219</v>
      </c>
      <c r="K45" s="76">
        <v>45658</v>
      </c>
      <c r="L45" s="77">
        <v>45853</v>
      </c>
      <c r="M45" s="68">
        <f t="shared" si="3"/>
        <v>196</v>
      </c>
      <c r="N45" s="69">
        <f>IFERROR(INDEX(Tabela3[ID_Responsavel], MATCH(O45,Tabela3[[Responsáveis ]], 0)), "Não encontrado")</f>
        <v>7</v>
      </c>
      <c r="O45" s="58" t="s">
        <v>57</v>
      </c>
      <c r="P45" s="78" t="s">
        <v>19</v>
      </c>
      <c r="Q45" s="79" t="s">
        <v>237</v>
      </c>
    </row>
    <row r="46" spans="1:17" ht="16.5">
      <c r="A46" s="117">
        <f>IFERROR(INDEX(Tabela2[ID_Area], MATCH(B46,Tabela2[Area], 0)), "Não encontrado")</f>
        <v>1000</v>
      </c>
      <c r="B46" s="47" t="s">
        <v>54</v>
      </c>
      <c r="C46" s="48" t="s">
        <v>55</v>
      </c>
      <c r="D46" s="62">
        <f>IFERROR(INDEX(Metas!$D$2:$D$104, MATCH(E46,Metas!$E$2:$E$104, 0)), "Não encontrado")</f>
        <v>122</v>
      </c>
      <c r="E46" s="63" t="s">
        <v>58</v>
      </c>
      <c r="F46" s="63" t="s">
        <v>231</v>
      </c>
      <c r="G46" s="62" t="str">
        <f t="shared" ca="1" si="0"/>
        <v>Concluído</v>
      </c>
      <c r="H46" s="74" t="s">
        <v>198</v>
      </c>
      <c r="I46" s="75">
        <v>1</v>
      </c>
      <c r="J46" s="53">
        <f t="shared" si="1"/>
        <v>26.983695652173914</v>
      </c>
      <c r="K46" s="76">
        <v>45689</v>
      </c>
      <c r="L46" s="67">
        <v>46019</v>
      </c>
      <c r="M46" s="68">
        <f t="shared" si="3"/>
        <v>331</v>
      </c>
      <c r="N46" s="69">
        <f>IFERROR(INDEX(Tabela3[ID_Responsavel], MATCH(O46,Tabela3[[Responsáveis ]], 0)), "Não encontrado")</f>
        <v>7</v>
      </c>
      <c r="O46" s="58" t="s">
        <v>57</v>
      </c>
      <c r="P46" s="78" t="s">
        <v>19</v>
      </c>
      <c r="Q46" s="80" t="s">
        <v>198</v>
      </c>
    </row>
    <row r="47" spans="1:17" ht="16.5">
      <c r="A47" s="113">
        <f>IFERROR(INDEX(Tabela2[ID_Area], MATCH(B47,Tabela2[Area], 0)), "Não encontrado")</f>
        <v>1000</v>
      </c>
      <c r="B47" s="47" t="s">
        <v>54</v>
      </c>
      <c r="C47" s="48" t="s">
        <v>55</v>
      </c>
      <c r="D47" s="62">
        <f>IFERROR(INDEX(Metas!$D$2:$D$104, MATCH(E47,Metas!$E$2:$E$104, 0)), "Não encontrado")</f>
        <v>122</v>
      </c>
      <c r="E47" s="63" t="s">
        <v>58</v>
      </c>
      <c r="F47" s="63" t="s">
        <v>232</v>
      </c>
      <c r="G47" s="62" t="str">
        <f t="shared" ca="1" si="0"/>
        <v>Concluído</v>
      </c>
      <c r="H47" s="74" t="s">
        <v>198</v>
      </c>
      <c r="I47" s="75">
        <v>1</v>
      </c>
      <c r="J47" s="53">
        <f t="shared" si="1"/>
        <v>24.701086956521742</v>
      </c>
      <c r="K47" s="76">
        <v>45717</v>
      </c>
      <c r="L47" s="67">
        <v>46019</v>
      </c>
      <c r="M47" s="68">
        <f t="shared" si="3"/>
        <v>303</v>
      </c>
      <c r="N47" s="69">
        <f>IFERROR(INDEX(Tabela3[ID_Responsavel], MATCH(O47,Tabela3[[Responsáveis ]], 0)), "Não encontrado")</f>
        <v>7</v>
      </c>
      <c r="O47" s="58" t="s">
        <v>57</v>
      </c>
      <c r="P47" s="78" t="s">
        <v>19</v>
      </c>
      <c r="Q47" s="80" t="s">
        <v>198</v>
      </c>
    </row>
    <row r="48" spans="1:17" ht="16.5">
      <c r="A48" s="117">
        <f>IFERROR(INDEX(Tabela2[ID_Area], MATCH(B48,Tabela2[Area], 0)), "Não encontrado")</f>
        <v>1000</v>
      </c>
      <c r="B48" s="47" t="s">
        <v>54</v>
      </c>
      <c r="C48" s="48" t="s">
        <v>55</v>
      </c>
      <c r="D48" s="62">
        <f>IFERROR(INDEX(Metas!$D$2:$D$104, MATCH(E48,Metas!$E$2:$E$104, 0)), "Não encontrado")</f>
        <v>122</v>
      </c>
      <c r="E48" s="63" t="s">
        <v>58</v>
      </c>
      <c r="F48" s="63" t="s">
        <v>233</v>
      </c>
      <c r="G48" s="62" t="str">
        <f t="shared" ca="1" si="0"/>
        <v>Concluído</v>
      </c>
      <c r="H48" s="74" t="s">
        <v>198</v>
      </c>
      <c r="I48" s="75">
        <v>1</v>
      </c>
      <c r="J48" s="53">
        <f t="shared" si="1"/>
        <v>26.413043478260871</v>
      </c>
      <c r="K48" s="76">
        <v>45731</v>
      </c>
      <c r="L48" s="77">
        <v>46054</v>
      </c>
      <c r="M48" s="68">
        <f t="shared" si="3"/>
        <v>324</v>
      </c>
      <c r="N48" s="69">
        <f>IFERROR(INDEX(Tabela3[ID_Responsavel], MATCH(O48,Tabela3[[Responsáveis ]], 0)), "Não encontrado")</f>
        <v>7</v>
      </c>
      <c r="O48" s="58" t="s">
        <v>57</v>
      </c>
      <c r="P48" s="78" t="s">
        <v>19</v>
      </c>
      <c r="Q48" s="80" t="s">
        <v>198</v>
      </c>
    </row>
    <row r="49" spans="1:17" ht="16.5">
      <c r="A49" s="113">
        <f>IFERROR(INDEX(Tabela2[ID_Area], MATCH(B49,Tabela2[Area], 0)), "Não encontrado")</f>
        <v>1000</v>
      </c>
      <c r="B49" s="47" t="s">
        <v>54</v>
      </c>
      <c r="C49" s="48" t="s">
        <v>55</v>
      </c>
      <c r="D49" s="62">
        <f>IFERROR(INDEX(Metas!$D$2:$D$104, MATCH(E49,Metas!$E$2:$E$104, 0)), "Não encontrado")</f>
        <v>122</v>
      </c>
      <c r="E49" s="63" t="s">
        <v>58</v>
      </c>
      <c r="F49" s="63" t="s">
        <v>234</v>
      </c>
      <c r="G49" s="62" t="str">
        <f t="shared" ca="1" si="0"/>
        <v>Concluído</v>
      </c>
      <c r="H49" s="74" t="s">
        <v>198</v>
      </c>
      <c r="I49" s="75">
        <v>1</v>
      </c>
      <c r="J49" s="53">
        <f t="shared" si="1"/>
        <v>10.923913043478262</v>
      </c>
      <c r="K49" s="76">
        <v>45940</v>
      </c>
      <c r="L49" s="77">
        <v>46073</v>
      </c>
      <c r="M49" s="68">
        <f t="shared" si="3"/>
        <v>134</v>
      </c>
      <c r="N49" s="69">
        <f>IFERROR(INDEX(Tabela3[ID_Responsavel], MATCH(O49,Tabela3[[Responsáveis ]], 0)), "Não encontrado")</f>
        <v>7</v>
      </c>
      <c r="O49" s="58" t="s">
        <v>57</v>
      </c>
      <c r="P49" s="78" t="s">
        <v>19</v>
      </c>
      <c r="Q49" s="80" t="s">
        <v>198</v>
      </c>
    </row>
    <row r="50" spans="1:17" ht="16.5">
      <c r="A50" s="117">
        <f>IFERROR(INDEX(Tabela2[ID_Area], MATCH(B50,Tabela2[Area], 0)), "Não encontrado")</f>
        <v>1000</v>
      </c>
      <c r="B50" s="47" t="s">
        <v>54</v>
      </c>
      <c r="C50" s="48" t="s">
        <v>55</v>
      </c>
      <c r="D50" s="62">
        <f>IFERROR(INDEX(Metas!$D$2:$D$104, MATCH(E50,Metas!$E$2:$E$104, 0)), "Não encontrado")</f>
        <v>122</v>
      </c>
      <c r="E50" s="63" t="s">
        <v>58</v>
      </c>
      <c r="F50" s="63" t="s">
        <v>238</v>
      </c>
      <c r="G50" s="62" t="str">
        <f t="shared" ca="1" si="0"/>
        <v>Concluído</v>
      </c>
      <c r="H50" s="74" t="s">
        <v>198</v>
      </c>
      <c r="I50" s="75">
        <v>1</v>
      </c>
      <c r="J50" s="53">
        <f t="shared" si="1"/>
        <v>4.4021739130434785</v>
      </c>
      <c r="K50" s="76">
        <v>45950</v>
      </c>
      <c r="L50" s="77">
        <v>46003</v>
      </c>
      <c r="M50" s="68">
        <f t="shared" si="3"/>
        <v>54</v>
      </c>
      <c r="N50" s="69">
        <f>IFERROR(INDEX(Tabela3[ID_Responsavel], MATCH(O50,Tabela3[[Responsáveis ]], 0)), "Não encontrado")</f>
        <v>7</v>
      </c>
      <c r="O50" s="58" t="s">
        <v>57</v>
      </c>
      <c r="P50" s="78" t="s">
        <v>19</v>
      </c>
      <c r="Q50" s="80" t="s">
        <v>198</v>
      </c>
    </row>
    <row r="51" spans="1:17" ht="16.5">
      <c r="A51" s="113">
        <f>IFERROR(INDEX(Tabela2[ID_Area], MATCH(B51,Tabela2[Area], 0)), "Não encontrado")</f>
        <v>1000</v>
      </c>
      <c r="B51" s="47" t="s">
        <v>54</v>
      </c>
      <c r="C51" s="48" t="s">
        <v>55</v>
      </c>
      <c r="D51" s="62">
        <f>IFERROR(INDEX(Metas!$D$2:$D$104, MATCH(E51,Metas!$E$2:$E$104, 0)), "Não encontrado")</f>
        <v>122</v>
      </c>
      <c r="E51" s="63" t="s">
        <v>58</v>
      </c>
      <c r="F51" s="63" t="s">
        <v>236</v>
      </c>
      <c r="G51" s="62" t="str">
        <f t="shared" ca="1" si="0"/>
        <v>Concluído</v>
      </c>
      <c r="H51" s="74" t="s">
        <v>198</v>
      </c>
      <c r="I51" s="75">
        <v>1</v>
      </c>
      <c r="J51" s="53">
        <f t="shared" si="1"/>
        <v>10.597826086956522</v>
      </c>
      <c r="K51" s="76">
        <v>45962</v>
      </c>
      <c r="L51" s="77">
        <v>46091</v>
      </c>
      <c r="M51" s="68">
        <f t="shared" ref="M51" si="4" xml:space="preserve"> L51 - K51 + 1</f>
        <v>130</v>
      </c>
      <c r="N51" s="69">
        <f>IFERROR(INDEX(Tabela3[ID_Responsavel], MATCH(O51,Tabela3[[Responsáveis ]], 0)), "Não encontrado")</f>
        <v>7</v>
      </c>
      <c r="O51" s="58" t="s">
        <v>57</v>
      </c>
      <c r="P51" s="78" t="s">
        <v>19</v>
      </c>
      <c r="Q51" s="80" t="s">
        <v>198</v>
      </c>
    </row>
    <row r="52" spans="1:17" ht="30.75" hidden="1">
      <c r="A52" s="117">
        <f>IFERROR(INDEX(Tabela2[ID_Area], MATCH(B52,Tabela2[Area], 0)), "Não encontrado")</f>
        <v>1001</v>
      </c>
      <c r="B52" s="47" t="s">
        <v>66</v>
      </c>
      <c r="C52" s="48" t="s">
        <v>86</v>
      </c>
      <c r="D52" s="62">
        <f>IFERROR(INDEX(Metas!$D$2:$D$104, MATCH(E52,Metas!$E$2:$E$104, 0)), "Não encontrado")</f>
        <v>129</v>
      </c>
      <c r="E52" s="63" t="s">
        <v>68</v>
      </c>
      <c r="F52" s="63" t="s">
        <v>239</v>
      </c>
      <c r="G52" s="62" t="str">
        <f t="shared" ref="G52:G87" ca="1" si="5">IF(I52=1,"Concluído",
   IF(TODAY()&gt;L52,"Atrasado",
      IF(AND(I52=0,TODAY()&lt;K52),"Não iniciado",
         "Em Andamento")))</f>
        <v>Concluído</v>
      </c>
      <c r="H52" s="86">
        <v>45782</v>
      </c>
      <c r="I52" s="65">
        <v>1</v>
      </c>
      <c r="J52" s="53">
        <f t="shared" si="1"/>
        <v>25.217391304347824</v>
      </c>
      <c r="K52" s="84">
        <v>45659</v>
      </c>
      <c r="L52" s="84">
        <v>45716</v>
      </c>
      <c r="M52" s="68">
        <f t="shared" ref="M52:M87" si="6" xml:space="preserve"> L52 - K52 + 1</f>
        <v>58</v>
      </c>
      <c r="N52" s="69">
        <f>IFERROR(INDEX(Tabela3[ID_Responsavel], MATCH(O52,Tabela3[[Responsáveis ]], 0)), "Não encontrado")</f>
        <v>1</v>
      </c>
      <c r="O52" s="58" t="s">
        <v>69</v>
      </c>
      <c r="P52" s="59" t="s">
        <v>19</v>
      </c>
      <c r="Q52" s="81" t="s">
        <v>240</v>
      </c>
    </row>
    <row r="53" spans="1:17" ht="30.75" hidden="1">
      <c r="A53" s="113">
        <f>IFERROR(INDEX(Tabela2[ID_Area], MATCH(B53,Tabela2[Area], 0)), "Não encontrado")</f>
        <v>1001</v>
      </c>
      <c r="B53" s="47" t="s">
        <v>66</v>
      </c>
      <c r="C53" s="48" t="s">
        <v>86</v>
      </c>
      <c r="D53" s="62">
        <f>IFERROR(INDEX(Metas!$D$2:$D$104, MATCH(E53,Metas!$E$2:$E$104, 0)), "Não encontrado")</f>
        <v>129</v>
      </c>
      <c r="E53" s="63" t="s">
        <v>68</v>
      </c>
      <c r="F53" s="63" t="s">
        <v>241</v>
      </c>
      <c r="G53" s="62" t="str">
        <f t="shared" ca="1" si="5"/>
        <v>Concluído</v>
      </c>
      <c r="H53" s="86">
        <v>45930</v>
      </c>
      <c r="I53" s="65">
        <v>1</v>
      </c>
      <c r="J53" s="53">
        <f t="shared" si="1"/>
        <v>66.956521739130437</v>
      </c>
      <c r="K53" s="84">
        <v>45716</v>
      </c>
      <c r="L53" s="85">
        <v>45869</v>
      </c>
      <c r="M53" s="68">
        <f t="shared" si="6"/>
        <v>154</v>
      </c>
      <c r="N53" s="69">
        <f>IFERROR(INDEX(Tabela3[ID_Responsavel], MATCH(O53,Tabela3[[Responsáveis ]], 0)), "Não encontrado")</f>
        <v>1</v>
      </c>
      <c r="O53" s="58" t="s">
        <v>69</v>
      </c>
      <c r="P53" s="59" t="s">
        <v>19</v>
      </c>
      <c r="Q53" s="81" t="s">
        <v>240</v>
      </c>
    </row>
    <row r="54" spans="1:17" ht="30.75" hidden="1">
      <c r="A54" s="117">
        <f>IFERROR(INDEX(Tabela2[ID_Area], MATCH(B54,Tabela2[Area], 0)), "Não encontrado")</f>
        <v>1001</v>
      </c>
      <c r="B54" s="47" t="s">
        <v>66</v>
      </c>
      <c r="C54" s="48" t="s">
        <v>86</v>
      </c>
      <c r="D54" s="62">
        <f>IFERROR(INDEX(Metas!$D$2:$D$104, MATCH(E54,Metas!$E$2:$E$104, 0)), "Não encontrado")</f>
        <v>129</v>
      </c>
      <c r="E54" s="63" t="s">
        <v>68</v>
      </c>
      <c r="F54" s="63" t="s">
        <v>242</v>
      </c>
      <c r="G54" s="62" t="str">
        <f t="shared" ca="1" si="5"/>
        <v>Atrasado</v>
      </c>
      <c r="H54" s="86">
        <v>45937</v>
      </c>
      <c r="I54" s="65">
        <v>0.9</v>
      </c>
      <c r="J54" s="53">
        <f t="shared" si="1"/>
        <v>13.913043478260869</v>
      </c>
      <c r="K54" s="84">
        <v>45930</v>
      </c>
      <c r="L54" s="85">
        <v>45961</v>
      </c>
      <c r="M54" s="68">
        <f t="shared" si="6"/>
        <v>32</v>
      </c>
      <c r="N54" s="69">
        <f>IFERROR(INDEX(Tabela3[ID_Responsavel], MATCH(O54,Tabela3[[Responsáveis ]], 0)), "Não encontrado")</f>
        <v>1</v>
      </c>
      <c r="O54" s="58" t="s">
        <v>69</v>
      </c>
      <c r="P54" s="59" t="s">
        <v>19</v>
      </c>
      <c r="Q54" s="81" t="s">
        <v>243</v>
      </c>
    </row>
    <row r="55" spans="1:17" ht="30.75" hidden="1">
      <c r="A55" s="113">
        <f>IFERROR(INDEX(Tabela2[ID_Area], MATCH(B55,Tabela2[Area], 0)), "Não encontrado")</f>
        <v>1001</v>
      </c>
      <c r="B55" s="47" t="s">
        <v>66</v>
      </c>
      <c r="C55" s="48" t="s">
        <v>86</v>
      </c>
      <c r="D55" s="62">
        <f>IFERROR(INDEX(Metas!$D$2:$D$104, MATCH(E55,Metas!$E$2:$E$104, 0)), "Não encontrado")</f>
        <v>129</v>
      </c>
      <c r="E55" s="63" t="s">
        <v>68</v>
      </c>
      <c r="F55" s="63" t="s">
        <v>244</v>
      </c>
      <c r="G55" s="62" t="str">
        <f t="shared" ca="1" si="5"/>
        <v>Atrasado</v>
      </c>
      <c r="H55" s="83" t="s">
        <v>198</v>
      </c>
      <c r="I55" s="65">
        <v>0.5</v>
      </c>
      <c r="J55" s="53">
        <f t="shared" si="1"/>
        <v>13.913043478260869</v>
      </c>
      <c r="K55" s="84">
        <v>45930</v>
      </c>
      <c r="L55" s="85">
        <v>45961</v>
      </c>
      <c r="M55" s="68">
        <f t="shared" si="6"/>
        <v>32</v>
      </c>
      <c r="N55" s="69">
        <f>IFERROR(INDEX(Tabela3[ID_Responsavel], MATCH(O55,Tabela3[[Responsáveis ]], 0)), "Não encontrado")</f>
        <v>1</v>
      </c>
      <c r="O55" s="58" t="s">
        <v>69</v>
      </c>
      <c r="P55" s="59" t="s">
        <v>19</v>
      </c>
      <c r="Q55" s="81" t="s">
        <v>245</v>
      </c>
    </row>
    <row r="56" spans="1:17" ht="16.5" hidden="1">
      <c r="A56" s="117">
        <f>IFERROR(INDEX(Tabela2[ID_Area], MATCH(B56,Tabela2[Area], 0)), "Não encontrado")</f>
        <v>1001</v>
      </c>
      <c r="B56" s="47" t="s">
        <v>66</v>
      </c>
      <c r="C56" s="48" t="s">
        <v>86</v>
      </c>
      <c r="D56" s="62">
        <f>IFERROR(INDEX(Metas!$D$2:$D$104, MATCH(E56,Metas!$E$2:$E$104, 0)), "Não encontrado")</f>
        <v>130</v>
      </c>
      <c r="E56" s="63" t="s">
        <v>72</v>
      </c>
      <c r="F56" s="63" t="s">
        <v>246</v>
      </c>
      <c r="G56" s="62" t="str">
        <f t="shared" ca="1" si="5"/>
        <v>Concluído</v>
      </c>
      <c r="H56" s="86">
        <v>45791</v>
      </c>
      <c r="I56" s="65">
        <v>1</v>
      </c>
      <c r="J56" s="53">
        <f t="shared" si="1"/>
        <v>27.256097560975611</v>
      </c>
      <c r="K56" s="84">
        <v>45659</v>
      </c>
      <c r="L56" s="85">
        <v>45807</v>
      </c>
      <c r="M56" s="68">
        <f t="shared" si="6"/>
        <v>149</v>
      </c>
      <c r="N56" s="69">
        <f>IFERROR(INDEX(Tabela3[ID_Responsavel], MATCH(O56,Tabela3[[Responsáveis ]], 0)), "Não encontrado")</f>
        <v>1</v>
      </c>
      <c r="O56" s="58" t="s">
        <v>69</v>
      </c>
      <c r="P56" s="59" t="s">
        <v>19</v>
      </c>
      <c r="Q56" s="81" t="s">
        <v>247</v>
      </c>
    </row>
    <row r="57" spans="1:17" ht="16.5" hidden="1">
      <c r="A57" s="113">
        <f>IFERROR(INDEX(Tabela2[ID_Area], MATCH(B57,Tabela2[Area], 0)), "Não encontrado")</f>
        <v>1001</v>
      </c>
      <c r="B57" s="47" t="s">
        <v>66</v>
      </c>
      <c r="C57" s="48" t="s">
        <v>86</v>
      </c>
      <c r="D57" s="62">
        <f>IFERROR(INDEX(Metas!$D$2:$D$104, MATCH(E57,Metas!$E$2:$E$104, 0)), "Não encontrado")</f>
        <v>130</v>
      </c>
      <c r="E57" s="63" t="s">
        <v>72</v>
      </c>
      <c r="F57" s="63" t="s">
        <v>248</v>
      </c>
      <c r="G57" s="62" t="str">
        <f t="shared" ca="1" si="5"/>
        <v>Concluído</v>
      </c>
      <c r="H57" s="86">
        <v>45798</v>
      </c>
      <c r="I57" s="65">
        <v>1</v>
      </c>
      <c r="J57" s="53">
        <f t="shared" si="1"/>
        <v>16.829268292682929</v>
      </c>
      <c r="K57" s="84">
        <v>45716</v>
      </c>
      <c r="L57" s="85">
        <v>45807</v>
      </c>
      <c r="M57" s="68">
        <f t="shared" si="6"/>
        <v>92</v>
      </c>
      <c r="N57" s="69">
        <f>IFERROR(INDEX(Tabela3[ID_Responsavel], MATCH(O57,Tabela3[[Responsáveis ]], 0)), "Não encontrado")</f>
        <v>1</v>
      </c>
      <c r="O57" s="58" t="s">
        <v>69</v>
      </c>
      <c r="P57" s="59" t="s">
        <v>19</v>
      </c>
      <c r="Q57" s="79" t="s">
        <v>198</v>
      </c>
    </row>
    <row r="58" spans="1:17" ht="16.5" hidden="1">
      <c r="A58" s="117">
        <f>IFERROR(INDEX(Tabela2[ID_Area], MATCH(B58,Tabela2[Area], 0)), "Não encontrado")</f>
        <v>1001</v>
      </c>
      <c r="B58" s="47" t="s">
        <v>66</v>
      </c>
      <c r="C58" s="48" t="s">
        <v>86</v>
      </c>
      <c r="D58" s="62">
        <f>IFERROR(INDEX(Metas!$D$2:$D$104, MATCH(E58,Metas!$E$2:$E$104, 0)), "Não encontrado")</f>
        <v>130</v>
      </c>
      <c r="E58" s="63" t="s">
        <v>72</v>
      </c>
      <c r="F58" s="63" t="s">
        <v>249</v>
      </c>
      <c r="G58" s="62" t="str">
        <f t="shared" ca="1" si="5"/>
        <v>Concluído</v>
      </c>
      <c r="H58" s="86">
        <v>45818</v>
      </c>
      <c r="I58" s="65">
        <v>1</v>
      </c>
      <c r="J58" s="53">
        <f t="shared" si="1"/>
        <v>39.329268292682926</v>
      </c>
      <c r="K58" s="84">
        <v>45777</v>
      </c>
      <c r="L58" s="67">
        <v>45991</v>
      </c>
      <c r="M58" s="68">
        <f t="shared" si="6"/>
        <v>215</v>
      </c>
      <c r="N58" s="69">
        <f>IFERROR(INDEX(Tabela3[ID_Responsavel], MATCH(O58,Tabela3[[Responsáveis ]], 0)), "Não encontrado")</f>
        <v>1</v>
      </c>
      <c r="O58" s="58" t="s">
        <v>69</v>
      </c>
      <c r="P58" s="59" t="s">
        <v>19</v>
      </c>
      <c r="Q58" s="79" t="s">
        <v>198</v>
      </c>
    </row>
    <row r="59" spans="1:17" ht="16.5" hidden="1">
      <c r="A59" s="113">
        <f>IFERROR(INDEX(Tabela2[ID_Area], MATCH(B59,Tabela2[Area], 0)), "Não encontrado")</f>
        <v>1001</v>
      </c>
      <c r="B59" s="47" t="s">
        <v>66</v>
      </c>
      <c r="C59" s="48" t="s">
        <v>86</v>
      </c>
      <c r="D59" s="62">
        <f>IFERROR(INDEX(Metas!$D$2:$D$104, MATCH(E59,Metas!$E$2:$E$104, 0)), "Não encontrado")</f>
        <v>130</v>
      </c>
      <c r="E59" s="63" t="s">
        <v>72</v>
      </c>
      <c r="F59" s="63" t="s">
        <v>250</v>
      </c>
      <c r="G59" s="62" t="str">
        <f t="shared" ca="1" si="5"/>
        <v>Concluído</v>
      </c>
      <c r="H59" s="86">
        <v>45964</v>
      </c>
      <c r="I59" s="65">
        <v>1</v>
      </c>
      <c r="J59" s="53">
        <f t="shared" si="1"/>
        <v>36.585365853658537</v>
      </c>
      <c r="K59" s="84">
        <v>45792</v>
      </c>
      <c r="L59" s="67">
        <v>45991</v>
      </c>
      <c r="M59" s="68">
        <f t="shared" si="6"/>
        <v>200</v>
      </c>
      <c r="N59" s="69">
        <f>IFERROR(INDEX(Tabela3[ID_Responsavel], MATCH(O59,Tabela3[[Responsáveis ]], 0)), "Não encontrado")</f>
        <v>1</v>
      </c>
      <c r="O59" s="58" t="s">
        <v>69</v>
      </c>
      <c r="P59" s="59" t="s">
        <v>19</v>
      </c>
      <c r="Q59" s="79" t="s">
        <v>198</v>
      </c>
    </row>
    <row r="60" spans="1:17" ht="16.5" hidden="1">
      <c r="A60" s="117">
        <f>IFERROR(INDEX(Tabela2[ID_Area], MATCH(B60,Tabela2[Area], 0)), "Não encontrado")</f>
        <v>1001</v>
      </c>
      <c r="B60" s="47" t="s">
        <v>66</v>
      </c>
      <c r="C60" s="48" t="s">
        <v>86</v>
      </c>
      <c r="D60" s="62">
        <f>IFERROR(INDEX(Metas!$D$2:$D$104, MATCH(E60,Metas!$E$2:$E$104, 0)), "Não encontrado")</f>
        <v>131</v>
      </c>
      <c r="E60" s="63" t="s">
        <v>73</v>
      </c>
      <c r="F60" s="63" t="s">
        <v>251</v>
      </c>
      <c r="G60" s="62" t="str">
        <f t="shared" ca="1" si="5"/>
        <v>Concluído</v>
      </c>
      <c r="H60" s="86">
        <v>45930</v>
      </c>
      <c r="I60" s="73">
        <v>1</v>
      </c>
      <c r="J60" s="53">
        <f t="shared" si="1"/>
        <v>71.523178807947019</v>
      </c>
      <c r="K60" s="84">
        <v>45659</v>
      </c>
      <c r="L60" s="85">
        <v>45838</v>
      </c>
      <c r="M60" s="68">
        <f t="shared" si="6"/>
        <v>180</v>
      </c>
      <c r="N60" s="69">
        <f>IFERROR(INDEX(Tabela3[ID_Responsavel], MATCH(O60,Tabela3[[Responsáveis ]], 0)), "Não encontrado")</f>
        <v>1</v>
      </c>
      <c r="O60" s="58" t="s">
        <v>69</v>
      </c>
      <c r="P60" s="59" t="s">
        <v>19</v>
      </c>
      <c r="Q60" s="81" t="s">
        <v>252</v>
      </c>
    </row>
    <row r="61" spans="1:17" ht="16.5" hidden="1">
      <c r="A61" s="113">
        <f>IFERROR(INDEX(Tabela2[ID_Area], MATCH(B61,Tabela2[Area], 0)), "Não encontrado")</f>
        <v>1001</v>
      </c>
      <c r="B61" s="47" t="s">
        <v>66</v>
      </c>
      <c r="C61" s="48" t="s">
        <v>86</v>
      </c>
      <c r="D61" s="62">
        <f>IFERROR(INDEX(Metas!$D$2:$D$104, MATCH(E61,Metas!$E$2:$E$104, 0)), "Não encontrado")</f>
        <v>131</v>
      </c>
      <c r="E61" s="63" t="s">
        <v>73</v>
      </c>
      <c r="F61" s="63" t="s">
        <v>253</v>
      </c>
      <c r="G61" s="62" t="str">
        <f t="shared" ca="1" si="5"/>
        <v>Atrasado</v>
      </c>
      <c r="H61" s="86"/>
      <c r="I61" s="65">
        <v>0.5</v>
      </c>
      <c r="J61" s="53">
        <f t="shared" si="1"/>
        <v>12.317880794701987</v>
      </c>
      <c r="K61" s="85">
        <v>45838</v>
      </c>
      <c r="L61" s="85">
        <v>45868</v>
      </c>
      <c r="M61" s="68">
        <f t="shared" si="6"/>
        <v>31</v>
      </c>
      <c r="N61" s="69">
        <f>IFERROR(INDEX(Tabela3[ID_Responsavel], MATCH(O61,Tabela3[[Responsáveis ]], 0)), "Não encontrado")</f>
        <v>1</v>
      </c>
      <c r="O61" s="58" t="s">
        <v>69</v>
      </c>
      <c r="P61" s="59" t="s">
        <v>19</v>
      </c>
      <c r="Q61" s="81" t="s">
        <v>254</v>
      </c>
    </row>
    <row r="62" spans="1:17" ht="16.5" hidden="1">
      <c r="A62" s="117">
        <f>IFERROR(INDEX(Tabela2[ID_Area], MATCH(B62,Tabela2[Area], 0)), "Não encontrado")</f>
        <v>1001</v>
      </c>
      <c r="B62" s="47" t="s">
        <v>66</v>
      </c>
      <c r="C62" s="48" t="s">
        <v>86</v>
      </c>
      <c r="D62" s="62">
        <f>IFERROR(INDEX(Metas!$D$2:$D$104, MATCH(E62,Metas!$E$2:$E$104, 0)), "Não encontrado")</f>
        <v>131</v>
      </c>
      <c r="E62" s="63" t="s">
        <v>73</v>
      </c>
      <c r="F62" s="63" t="s">
        <v>255</v>
      </c>
      <c r="G62" s="62" t="str">
        <f t="shared" ca="1" si="5"/>
        <v>Atrasado</v>
      </c>
      <c r="H62" s="86"/>
      <c r="I62" s="65">
        <v>0</v>
      </c>
      <c r="J62" s="53">
        <f t="shared" si="1"/>
        <v>11.920529801324502</v>
      </c>
      <c r="K62" s="84">
        <v>45870</v>
      </c>
      <c r="L62" s="85">
        <v>45899</v>
      </c>
      <c r="M62" s="68">
        <f t="shared" si="6"/>
        <v>30</v>
      </c>
      <c r="N62" s="69">
        <f>IFERROR(INDEX(Tabela3[ID_Responsavel], MATCH(O62,Tabela3[[Responsáveis ]], 0)), "Não encontrado")</f>
        <v>1</v>
      </c>
      <c r="O62" s="58" t="s">
        <v>69</v>
      </c>
      <c r="P62" s="59" t="s">
        <v>19</v>
      </c>
      <c r="Q62" s="81" t="s">
        <v>256</v>
      </c>
    </row>
    <row r="63" spans="1:17" ht="16.5" hidden="1">
      <c r="A63" s="113">
        <f>IFERROR(INDEX(Tabela2[ID_Area], MATCH(B63,Tabela2[Area], 0)), "Não encontrado")</f>
        <v>1001</v>
      </c>
      <c r="B63" s="47" t="s">
        <v>66</v>
      </c>
      <c r="C63" s="48" t="s">
        <v>86</v>
      </c>
      <c r="D63" s="62">
        <f>IFERROR(INDEX(Metas!$D$2:$D$104, MATCH(E63,Metas!$E$2:$E$104, 0)), "Não encontrado")</f>
        <v>131</v>
      </c>
      <c r="E63" s="63" t="s">
        <v>73</v>
      </c>
      <c r="F63" s="63" t="s">
        <v>257</v>
      </c>
      <c r="G63" s="62" t="str">
        <f t="shared" ca="1" si="5"/>
        <v>Atrasado</v>
      </c>
      <c r="H63" s="86"/>
      <c r="I63" s="65">
        <v>0.9</v>
      </c>
      <c r="J63" s="53">
        <f t="shared" si="1"/>
        <v>24.23841059602649</v>
      </c>
      <c r="K63" s="84">
        <v>45931</v>
      </c>
      <c r="L63" s="85">
        <v>45991</v>
      </c>
      <c r="M63" s="68">
        <f t="shared" si="6"/>
        <v>61</v>
      </c>
      <c r="N63" s="69">
        <f>IFERROR(INDEX(Tabela3[ID_Responsavel], MATCH(O63,Tabela3[[Responsáveis ]], 0)), "Não encontrado")</f>
        <v>1</v>
      </c>
      <c r="O63" s="58" t="s">
        <v>69</v>
      </c>
      <c r="P63" s="59" t="s">
        <v>19</v>
      </c>
      <c r="Q63" s="81" t="s">
        <v>258</v>
      </c>
    </row>
    <row r="64" spans="1:17" ht="16.5" hidden="1">
      <c r="A64" s="117">
        <f>IFERROR(INDEX(Tabela2[ID_Area], MATCH(B64,Tabela2[Area], 0)), "Não encontrado")</f>
        <v>1001</v>
      </c>
      <c r="B64" s="47" t="s">
        <v>66</v>
      </c>
      <c r="C64" s="48" t="s">
        <v>24</v>
      </c>
      <c r="D64" s="62">
        <f>IFERROR(INDEX(Metas!$D$2:$D$104, MATCH(E64,Metas!$E$2:$E$104, 0)), "Não encontrado")</f>
        <v>132</v>
      </c>
      <c r="E64" s="63" t="s">
        <v>74</v>
      </c>
      <c r="F64" s="63" t="s">
        <v>210</v>
      </c>
      <c r="G64" s="62" t="str">
        <f t="shared" ca="1" si="5"/>
        <v>Concluído</v>
      </c>
      <c r="H64" s="83" t="s">
        <v>198</v>
      </c>
      <c r="I64" s="65">
        <v>1</v>
      </c>
      <c r="J64" s="53">
        <f t="shared" si="1"/>
        <v>1.935483870967742</v>
      </c>
      <c r="K64" s="66">
        <v>45674</v>
      </c>
      <c r="L64" s="67">
        <v>45688</v>
      </c>
      <c r="M64" s="68">
        <f t="shared" si="6"/>
        <v>15</v>
      </c>
      <c r="N64" s="69">
        <f>IFERROR(INDEX(Tabela3[ID_Responsavel], MATCH(O64,Tabela3[[Responsáveis ]], 0)), "Não encontrado")</f>
        <v>1</v>
      </c>
      <c r="O64" s="58" t="s">
        <v>69</v>
      </c>
      <c r="P64" s="59" t="s">
        <v>19</v>
      </c>
      <c r="Q64" s="79" t="s">
        <v>198</v>
      </c>
    </row>
    <row r="65" spans="1:17" ht="16.5" hidden="1">
      <c r="A65" s="113">
        <f>IFERROR(INDEX(Tabela2[ID_Area], MATCH(B65,Tabela2[Area], 0)), "Não encontrado")</f>
        <v>1001</v>
      </c>
      <c r="B65" s="47" t="s">
        <v>66</v>
      </c>
      <c r="C65" s="48" t="s">
        <v>24</v>
      </c>
      <c r="D65" s="62">
        <f>IFERROR(INDEX(Metas!$D$2:$D$104, MATCH(E65,Metas!$E$2:$E$104, 0)), "Não encontrado")</f>
        <v>132</v>
      </c>
      <c r="E65" s="63" t="s">
        <v>74</v>
      </c>
      <c r="F65" s="63" t="s">
        <v>211</v>
      </c>
      <c r="G65" s="62" t="str">
        <f t="shared" ca="1" si="5"/>
        <v>Concluído</v>
      </c>
      <c r="H65" s="83" t="s">
        <v>198</v>
      </c>
      <c r="I65" s="65">
        <v>1</v>
      </c>
      <c r="J65" s="53">
        <f t="shared" si="1"/>
        <v>3.3548387096774195</v>
      </c>
      <c r="K65" s="66">
        <v>45691</v>
      </c>
      <c r="L65" s="67">
        <v>45716</v>
      </c>
      <c r="M65" s="68">
        <f t="shared" si="6"/>
        <v>26</v>
      </c>
      <c r="N65" s="69">
        <f>IFERROR(INDEX(Tabela3[ID_Responsavel], MATCH(O65,Tabela3[[Responsáveis ]], 0)), "Não encontrado")</f>
        <v>1</v>
      </c>
      <c r="O65" s="58" t="s">
        <v>69</v>
      </c>
      <c r="P65" s="59" t="s">
        <v>19</v>
      </c>
      <c r="Q65" s="79" t="s">
        <v>198</v>
      </c>
    </row>
    <row r="66" spans="1:17" ht="16.5" hidden="1">
      <c r="A66" s="117">
        <f>IFERROR(INDEX(Tabela2[ID_Area], MATCH(B66,Tabela2[Area], 0)), "Não encontrado")</f>
        <v>1001</v>
      </c>
      <c r="B66" s="47" t="s">
        <v>66</v>
      </c>
      <c r="C66" s="48" t="s">
        <v>24</v>
      </c>
      <c r="D66" s="62">
        <f>IFERROR(INDEX(Metas!$D$2:$D$104, MATCH(E66,Metas!$E$2:$E$104, 0)), "Não encontrado")</f>
        <v>132</v>
      </c>
      <c r="E66" s="63" t="s">
        <v>74</v>
      </c>
      <c r="F66" s="63" t="s">
        <v>212</v>
      </c>
      <c r="G66" s="62" t="str">
        <f t="shared" ca="1" si="5"/>
        <v>Concluído</v>
      </c>
      <c r="H66" s="83" t="s">
        <v>198</v>
      </c>
      <c r="I66" s="65">
        <v>1</v>
      </c>
      <c r="J66" s="53">
        <f t="shared" ref="J66:J129" si="7">IFERROR( M66 / SUMIFS($M:$M, $E:$E, $E66, $O:$O, $O66) * 120, 0 )</f>
        <v>2.193548387096774</v>
      </c>
      <c r="K66" s="66">
        <v>45717</v>
      </c>
      <c r="L66" s="67">
        <v>45733</v>
      </c>
      <c r="M66" s="68">
        <f t="shared" si="6"/>
        <v>17</v>
      </c>
      <c r="N66" s="69">
        <f>IFERROR(INDEX(Tabela3[ID_Responsavel], MATCH(O66,Tabela3[[Responsáveis ]], 0)), "Não encontrado")</f>
        <v>1</v>
      </c>
      <c r="O66" s="58" t="s">
        <v>69</v>
      </c>
      <c r="P66" s="59" t="s">
        <v>19</v>
      </c>
      <c r="Q66" s="79" t="s">
        <v>198</v>
      </c>
    </row>
    <row r="67" spans="1:17" ht="16.5" hidden="1">
      <c r="A67" s="113">
        <f>IFERROR(INDEX(Tabela2[ID_Area], MATCH(B67,Tabela2[Area], 0)), "Não encontrado")</f>
        <v>1001</v>
      </c>
      <c r="B67" s="47" t="s">
        <v>66</v>
      </c>
      <c r="C67" s="48" t="s">
        <v>24</v>
      </c>
      <c r="D67" s="62">
        <f>IFERROR(INDEX(Metas!$D$2:$D$104, MATCH(E67,Metas!$E$2:$E$104, 0)), "Não encontrado")</f>
        <v>132</v>
      </c>
      <c r="E67" s="63" t="s">
        <v>74</v>
      </c>
      <c r="F67" s="63" t="s">
        <v>213</v>
      </c>
      <c r="G67" s="62" t="str">
        <f t="shared" ca="1" si="5"/>
        <v>Atrasado</v>
      </c>
      <c r="H67" s="83" t="s">
        <v>198</v>
      </c>
      <c r="I67" s="65">
        <v>0.9</v>
      </c>
      <c r="J67" s="53">
        <f t="shared" si="7"/>
        <v>23.354838709677416</v>
      </c>
      <c r="K67" s="66">
        <v>45734</v>
      </c>
      <c r="L67" s="67">
        <v>45914</v>
      </c>
      <c r="M67" s="68">
        <f t="shared" si="6"/>
        <v>181</v>
      </c>
      <c r="N67" s="69">
        <f>IFERROR(INDEX(Tabela3[ID_Responsavel], MATCH(O67,Tabela3[[Responsáveis ]], 0)), "Não encontrado")</f>
        <v>1</v>
      </c>
      <c r="O67" s="58" t="s">
        <v>69</v>
      </c>
      <c r="P67" s="59" t="s">
        <v>19</v>
      </c>
      <c r="Q67" s="79" t="s">
        <v>198</v>
      </c>
    </row>
    <row r="68" spans="1:17" ht="16.5" hidden="1">
      <c r="A68" s="117">
        <f>IFERROR(INDEX(Tabela2[ID_Area], MATCH(B68,Tabela2[Area], 0)), "Não encontrado")</f>
        <v>1001</v>
      </c>
      <c r="B68" s="47" t="s">
        <v>66</v>
      </c>
      <c r="C68" s="48" t="s">
        <v>24</v>
      </c>
      <c r="D68" s="62">
        <f>IFERROR(INDEX(Metas!$D$2:$D$104, MATCH(E68,Metas!$E$2:$E$104, 0)), "Não encontrado")</f>
        <v>132</v>
      </c>
      <c r="E68" s="63" t="s">
        <v>74</v>
      </c>
      <c r="F68" s="63" t="s">
        <v>214</v>
      </c>
      <c r="G68" s="62" t="str">
        <f t="shared" ca="1" si="5"/>
        <v>Atrasado</v>
      </c>
      <c r="H68" s="83" t="s">
        <v>198</v>
      </c>
      <c r="I68" s="65">
        <v>0.8</v>
      </c>
      <c r="J68" s="53">
        <f t="shared" si="7"/>
        <v>23.354838709677416</v>
      </c>
      <c r="K68" s="66">
        <v>45734</v>
      </c>
      <c r="L68" s="67">
        <v>45914</v>
      </c>
      <c r="M68" s="68">
        <f t="shared" si="6"/>
        <v>181</v>
      </c>
      <c r="N68" s="69">
        <f>IFERROR(INDEX(Tabela3[ID_Responsavel], MATCH(O68,Tabela3[[Responsáveis ]], 0)), "Não encontrado")</f>
        <v>1</v>
      </c>
      <c r="O68" s="58" t="s">
        <v>69</v>
      </c>
      <c r="P68" s="59" t="s">
        <v>19</v>
      </c>
      <c r="Q68" s="79" t="s">
        <v>198</v>
      </c>
    </row>
    <row r="69" spans="1:17" ht="16.5" hidden="1">
      <c r="A69" s="113">
        <f>IFERROR(INDEX(Tabela2[ID_Area], MATCH(B69,Tabela2[Area], 0)), "Não encontrado")</f>
        <v>1001</v>
      </c>
      <c r="B69" s="47" t="s">
        <v>66</v>
      </c>
      <c r="C69" s="48" t="s">
        <v>24</v>
      </c>
      <c r="D69" s="62">
        <f>IFERROR(INDEX(Metas!$D$2:$D$104, MATCH(E69,Metas!$E$2:$E$104, 0)), "Não encontrado")</f>
        <v>132</v>
      </c>
      <c r="E69" s="63" t="s">
        <v>74</v>
      </c>
      <c r="F69" s="63" t="s">
        <v>215</v>
      </c>
      <c r="G69" s="62" t="str">
        <f t="shared" ca="1" si="5"/>
        <v>Atrasado</v>
      </c>
      <c r="H69" s="83" t="s">
        <v>198</v>
      </c>
      <c r="I69" s="65">
        <v>0</v>
      </c>
      <c r="J69" s="53">
        <f t="shared" si="7"/>
        <v>21.935483870967744</v>
      </c>
      <c r="K69" s="66">
        <v>45761</v>
      </c>
      <c r="L69" s="67">
        <v>45930</v>
      </c>
      <c r="M69" s="68">
        <f t="shared" si="6"/>
        <v>170</v>
      </c>
      <c r="N69" s="69">
        <f>IFERROR(INDEX(Tabela3[ID_Responsavel], MATCH(O69,Tabela3[[Responsáveis ]], 0)), "Não encontrado")</f>
        <v>1</v>
      </c>
      <c r="O69" s="58" t="s">
        <v>69</v>
      </c>
      <c r="P69" s="59" t="s">
        <v>19</v>
      </c>
      <c r="Q69" s="79" t="s">
        <v>198</v>
      </c>
    </row>
    <row r="70" spans="1:17" ht="16.5" hidden="1">
      <c r="A70" s="117">
        <f>IFERROR(INDEX(Tabela2[ID_Area], MATCH(B70,Tabela2[Area], 0)), "Não encontrado")</f>
        <v>1001</v>
      </c>
      <c r="B70" s="47" t="s">
        <v>66</v>
      </c>
      <c r="C70" s="48" t="s">
        <v>24</v>
      </c>
      <c r="D70" s="62">
        <f>IFERROR(INDEX(Metas!$D$2:$D$104, MATCH(E70,Metas!$E$2:$E$104, 0)), "Não encontrado")</f>
        <v>132</v>
      </c>
      <c r="E70" s="63" t="s">
        <v>74</v>
      </c>
      <c r="F70" s="63" t="s">
        <v>216</v>
      </c>
      <c r="G70" s="62" t="str">
        <f t="shared" ca="1" si="5"/>
        <v>Atrasado</v>
      </c>
      <c r="H70" s="83" t="s">
        <v>198</v>
      </c>
      <c r="I70" s="65">
        <v>0</v>
      </c>
      <c r="J70" s="53">
        <f t="shared" si="7"/>
        <v>21.161290322580644</v>
      </c>
      <c r="K70" s="66">
        <v>45782</v>
      </c>
      <c r="L70" s="67">
        <v>45945</v>
      </c>
      <c r="M70" s="68">
        <f t="shared" si="6"/>
        <v>164</v>
      </c>
      <c r="N70" s="69">
        <f>IFERROR(INDEX(Tabela3[ID_Responsavel], MATCH(O70,Tabela3[[Responsáveis ]], 0)), "Não encontrado")</f>
        <v>1</v>
      </c>
      <c r="O70" s="58" t="s">
        <v>69</v>
      </c>
      <c r="P70" s="59" t="s">
        <v>19</v>
      </c>
      <c r="Q70" s="79" t="s">
        <v>198</v>
      </c>
    </row>
    <row r="71" spans="1:17" ht="16.5" hidden="1">
      <c r="A71" s="113">
        <f>IFERROR(INDEX(Tabela2[ID_Area], MATCH(B71,Tabela2[Area], 0)), "Não encontrado")</f>
        <v>1001</v>
      </c>
      <c r="B71" s="47" t="s">
        <v>66</v>
      </c>
      <c r="C71" s="48" t="s">
        <v>24</v>
      </c>
      <c r="D71" s="62">
        <f>IFERROR(INDEX(Metas!$D$2:$D$104, MATCH(E71,Metas!$E$2:$E$104, 0)), "Não encontrado")</f>
        <v>132</v>
      </c>
      <c r="E71" s="63" t="s">
        <v>74</v>
      </c>
      <c r="F71" s="63" t="s">
        <v>217</v>
      </c>
      <c r="G71" s="62" t="str">
        <f t="shared" ca="1" si="5"/>
        <v>Atrasado</v>
      </c>
      <c r="H71" s="83" t="s">
        <v>198</v>
      </c>
      <c r="I71" s="65">
        <v>0</v>
      </c>
      <c r="J71" s="53">
        <f t="shared" si="7"/>
        <v>22.709677419354836</v>
      </c>
      <c r="K71" s="66">
        <v>45814</v>
      </c>
      <c r="L71" s="67">
        <v>45989</v>
      </c>
      <c r="M71" s="68">
        <f t="shared" si="6"/>
        <v>176</v>
      </c>
      <c r="N71" s="69">
        <f>IFERROR(INDEX(Tabela3[ID_Responsavel], MATCH(O71,Tabela3[[Responsáveis ]], 0)), "Não encontrado")</f>
        <v>1</v>
      </c>
      <c r="O71" s="58" t="s">
        <v>69</v>
      </c>
      <c r="P71" s="59" t="s">
        <v>19</v>
      </c>
      <c r="Q71" s="79" t="s">
        <v>198</v>
      </c>
    </row>
    <row r="72" spans="1:17" ht="60" hidden="1">
      <c r="A72" s="117">
        <f>IFERROR(INDEX(Tabela2[ID_Area], MATCH(B72,Tabela2[Area], 0)), "Não encontrado")</f>
        <v>1001</v>
      </c>
      <c r="B72" s="47" t="s">
        <v>66</v>
      </c>
      <c r="C72" s="48" t="s">
        <v>259</v>
      </c>
      <c r="D72" s="62">
        <f>IFERROR(INDEX(Metas!$D$2:$D$104, MATCH(E72,Metas!$E$2:$E$104, 0)), "Não encontrado")</f>
        <v>137</v>
      </c>
      <c r="E72" s="63" t="s">
        <v>87</v>
      </c>
      <c r="F72" s="63" t="s">
        <v>260</v>
      </c>
      <c r="G72" s="62" t="str">
        <f t="shared" ca="1" si="5"/>
        <v>Concluído</v>
      </c>
      <c r="H72" s="86">
        <v>45838</v>
      </c>
      <c r="I72" s="73">
        <v>1</v>
      </c>
      <c r="J72" s="53">
        <f t="shared" si="7"/>
        <v>71.760797342192689</v>
      </c>
      <c r="K72" s="84">
        <v>45659</v>
      </c>
      <c r="L72" s="85">
        <v>45838</v>
      </c>
      <c r="M72" s="68">
        <f t="shared" si="6"/>
        <v>180</v>
      </c>
      <c r="N72" s="69">
        <f>IFERROR(INDEX(Tabela3[ID_Responsavel], MATCH(O72,Tabela3[[Responsáveis ]], 0)), "Não encontrado")</f>
        <v>22</v>
      </c>
      <c r="O72" s="58" t="s">
        <v>88</v>
      </c>
      <c r="P72" s="59" t="s">
        <v>19</v>
      </c>
      <c r="Q72" s="81" t="s">
        <v>261</v>
      </c>
    </row>
    <row r="73" spans="1:17" ht="16.5" hidden="1">
      <c r="A73" s="113">
        <f>IFERROR(INDEX(Tabela2[ID_Area], MATCH(B73,Tabela2[Area], 0)), "Não encontrado")</f>
        <v>1001</v>
      </c>
      <c r="B73" s="47" t="s">
        <v>66</v>
      </c>
      <c r="C73" s="48" t="s">
        <v>259</v>
      </c>
      <c r="D73" s="62">
        <f>IFERROR(INDEX(Metas!$D$2:$D$104, MATCH(E73,Metas!$E$2:$E$104, 0)), "Não encontrado")</f>
        <v>137</v>
      </c>
      <c r="E73" s="63" t="s">
        <v>87</v>
      </c>
      <c r="F73" s="63" t="s">
        <v>253</v>
      </c>
      <c r="G73" s="62" t="str">
        <f t="shared" ca="1" si="5"/>
        <v>Atrasado</v>
      </c>
      <c r="H73" s="83" t="s">
        <v>198</v>
      </c>
      <c r="I73" s="65">
        <v>0.5</v>
      </c>
      <c r="J73" s="53">
        <f t="shared" si="7"/>
        <v>12.358803986710964</v>
      </c>
      <c r="K73" s="85">
        <v>45838</v>
      </c>
      <c r="L73" s="85">
        <v>45868</v>
      </c>
      <c r="M73" s="68">
        <f t="shared" si="6"/>
        <v>31</v>
      </c>
      <c r="N73" s="69">
        <f>IFERROR(INDEX(Tabela3[ID_Responsavel], MATCH(O73,Tabela3[[Responsáveis ]], 0)), "Não encontrado")</f>
        <v>22</v>
      </c>
      <c r="O73" s="58" t="s">
        <v>88</v>
      </c>
      <c r="P73" s="59" t="s">
        <v>19</v>
      </c>
      <c r="Q73" s="79" t="s">
        <v>262</v>
      </c>
    </row>
    <row r="74" spans="1:17" ht="16.5" hidden="1">
      <c r="A74" s="117">
        <f>IFERROR(INDEX(Tabela2[ID_Area], MATCH(B74,Tabela2[Area], 0)), "Não encontrado")</f>
        <v>1001</v>
      </c>
      <c r="B74" s="47" t="s">
        <v>66</v>
      </c>
      <c r="C74" s="48" t="s">
        <v>259</v>
      </c>
      <c r="D74" s="62">
        <f>IFERROR(INDEX(Metas!$D$2:$D$104, MATCH(E74,Metas!$E$2:$E$104, 0)), "Não encontrado")</f>
        <v>137</v>
      </c>
      <c r="E74" s="63" t="s">
        <v>87</v>
      </c>
      <c r="F74" s="63" t="s">
        <v>263</v>
      </c>
      <c r="G74" s="62" t="str">
        <f t="shared" ca="1" si="5"/>
        <v>Atrasado</v>
      </c>
      <c r="H74" s="83" t="s">
        <v>198</v>
      </c>
      <c r="I74" s="73">
        <v>0</v>
      </c>
      <c r="J74" s="53">
        <f t="shared" si="7"/>
        <v>11.960132890365449</v>
      </c>
      <c r="K74" s="84">
        <v>45870</v>
      </c>
      <c r="L74" s="85">
        <v>45899</v>
      </c>
      <c r="M74" s="68">
        <f t="shared" si="6"/>
        <v>30</v>
      </c>
      <c r="N74" s="69">
        <f>IFERROR(INDEX(Tabela3[ID_Responsavel], MATCH(O74,Tabela3[[Responsáveis ]], 0)), "Não encontrado")</f>
        <v>22</v>
      </c>
      <c r="O74" s="58" t="s">
        <v>88</v>
      </c>
      <c r="P74" s="59" t="s">
        <v>19</v>
      </c>
      <c r="Q74" s="79" t="s">
        <v>264</v>
      </c>
    </row>
    <row r="75" spans="1:17" ht="16.5" hidden="1">
      <c r="A75" s="113">
        <f>IFERROR(INDEX(Tabela2[ID_Area], MATCH(B75,Tabela2[Area], 0)), "Não encontrado")</f>
        <v>1001</v>
      </c>
      <c r="B75" s="47" t="s">
        <v>66</v>
      </c>
      <c r="C75" s="48" t="s">
        <v>259</v>
      </c>
      <c r="D75" s="62">
        <f>IFERROR(INDEX(Metas!$D$2:$D$104, MATCH(E75,Metas!$E$2:$E$104, 0)), "Não encontrado")</f>
        <v>137</v>
      </c>
      <c r="E75" s="63" t="s">
        <v>87</v>
      </c>
      <c r="F75" s="63" t="s">
        <v>265</v>
      </c>
      <c r="G75" s="62" t="str">
        <f t="shared" ca="1" si="5"/>
        <v>Atrasado</v>
      </c>
      <c r="H75" s="83" t="s">
        <v>198</v>
      </c>
      <c r="I75" s="73">
        <v>0</v>
      </c>
      <c r="J75" s="53">
        <f t="shared" si="7"/>
        <v>23.920265780730897</v>
      </c>
      <c r="K75" s="84">
        <v>45901</v>
      </c>
      <c r="L75" s="85">
        <v>45960</v>
      </c>
      <c r="M75" s="68">
        <f t="shared" si="6"/>
        <v>60</v>
      </c>
      <c r="N75" s="69">
        <f>IFERROR(INDEX(Tabela3[ID_Responsavel], MATCH(O75,Tabela3[[Responsáveis ]], 0)), "Não encontrado")</f>
        <v>22</v>
      </c>
      <c r="O75" s="58" t="s">
        <v>88</v>
      </c>
      <c r="P75" s="59" t="s">
        <v>19</v>
      </c>
      <c r="Q75" s="79" t="s">
        <v>264</v>
      </c>
    </row>
    <row r="76" spans="1:17" ht="30.75" hidden="1">
      <c r="A76" s="117">
        <f>IFERROR(INDEX(Tabela2[ID_Area], MATCH(B76,Tabela2[Area], 0)), "Não encontrado")</f>
        <v>1001</v>
      </c>
      <c r="B76" s="47" t="s">
        <v>66</v>
      </c>
      <c r="C76" s="48" t="s">
        <v>86</v>
      </c>
      <c r="D76" s="62">
        <f>IFERROR(INDEX(Metas!$D$2:$D$104, MATCH(E76,Metas!$E$2:$E$104, 0)), "Não encontrado")</f>
        <v>138</v>
      </c>
      <c r="E76" s="63" t="s">
        <v>89</v>
      </c>
      <c r="F76" s="63" t="s">
        <v>266</v>
      </c>
      <c r="G76" s="62" t="str">
        <f t="shared" ca="1" si="5"/>
        <v>Concluído</v>
      </c>
      <c r="H76" s="86">
        <v>45705</v>
      </c>
      <c r="I76" s="73">
        <v>1</v>
      </c>
      <c r="J76" s="53">
        <f t="shared" si="7"/>
        <v>28.73239436619718</v>
      </c>
      <c r="K76" s="84">
        <v>45659</v>
      </c>
      <c r="L76" s="85">
        <v>45709</v>
      </c>
      <c r="M76" s="68">
        <f t="shared" si="6"/>
        <v>51</v>
      </c>
      <c r="N76" s="69">
        <f>IFERROR(INDEX(Tabela3[ID_Responsavel], MATCH(O76,Tabela3[[Responsáveis ]], 0)), "Não encontrado")</f>
        <v>22</v>
      </c>
      <c r="O76" s="58" t="s">
        <v>88</v>
      </c>
      <c r="P76" s="59" t="s">
        <v>19</v>
      </c>
      <c r="Q76" s="79" t="s">
        <v>267</v>
      </c>
    </row>
    <row r="77" spans="1:17" ht="30.75" hidden="1">
      <c r="A77" s="113">
        <f>IFERROR(INDEX(Tabela2[ID_Area], MATCH(B77,Tabela2[Area], 0)), "Não encontrado")</f>
        <v>1001</v>
      </c>
      <c r="B77" s="47" t="s">
        <v>66</v>
      </c>
      <c r="C77" s="48" t="s">
        <v>86</v>
      </c>
      <c r="D77" s="62">
        <f>IFERROR(INDEX(Metas!$D$2:$D$104, MATCH(E77,Metas!$E$2:$E$104, 0)), "Não encontrado")</f>
        <v>138</v>
      </c>
      <c r="E77" s="63" t="s">
        <v>89</v>
      </c>
      <c r="F77" s="63" t="s">
        <v>268</v>
      </c>
      <c r="G77" s="62" t="str">
        <f t="shared" ca="1" si="5"/>
        <v>Concluído</v>
      </c>
      <c r="H77" s="86">
        <v>45722</v>
      </c>
      <c r="I77" s="73">
        <v>1</v>
      </c>
      <c r="J77" s="53">
        <f t="shared" si="7"/>
        <v>11.830985915492956</v>
      </c>
      <c r="K77" s="84">
        <v>45709</v>
      </c>
      <c r="L77" s="67">
        <v>45729</v>
      </c>
      <c r="M77" s="68">
        <f t="shared" si="6"/>
        <v>21</v>
      </c>
      <c r="N77" s="69">
        <f>IFERROR(INDEX(Tabela3[ID_Responsavel], MATCH(O77,Tabela3[[Responsáveis ]], 0)), "Não encontrado")</f>
        <v>22</v>
      </c>
      <c r="O77" s="58" t="s">
        <v>88</v>
      </c>
      <c r="P77" s="59" t="s">
        <v>19</v>
      </c>
      <c r="Q77" s="79" t="s">
        <v>269</v>
      </c>
    </row>
    <row r="78" spans="1:17" ht="30.75" hidden="1">
      <c r="A78" s="117">
        <f>IFERROR(INDEX(Tabela2[ID_Area], MATCH(B78,Tabela2[Area], 0)), "Não encontrado")</f>
        <v>1001</v>
      </c>
      <c r="B78" s="47" t="s">
        <v>66</v>
      </c>
      <c r="C78" s="48" t="s">
        <v>86</v>
      </c>
      <c r="D78" s="62">
        <f>IFERROR(INDEX(Metas!$D$2:$D$104, MATCH(E78,Metas!$E$2:$E$104, 0)), "Não encontrado")</f>
        <v>138</v>
      </c>
      <c r="E78" s="63" t="s">
        <v>89</v>
      </c>
      <c r="F78" s="63" t="s">
        <v>270</v>
      </c>
      <c r="G78" s="62" t="str">
        <f t="shared" ca="1" si="5"/>
        <v>Concluído</v>
      </c>
      <c r="H78" s="86">
        <v>45800</v>
      </c>
      <c r="I78" s="73">
        <v>1</v>
      </c>
      <c r="J78" s="53">
        <f t="shared" si="7"/>
        <v>42.816901408450704</v>
      </c>
      <c r="K78" s="66">
        <v>45729</v>
      </c>
      <c r="L78" s="67">
        <v>45804</v>
      </c>
      <c r="M78" s="68">
        <f t="shared" si="6"/>
        <v>76</v>
      </c>
      <c r="N78" s="69">
        <f>IFERROR(INDEX(Tabela3[ID_Responsavel], MATCH(O78,Tabela3[[Responsáveis ]], 0)), "Não encontrado")</f>
        <v>22</v>
      </c>
      <c r="O78" s="58" t="s">
        <v>88</v>
      </c>
      <c r="P78" s="59" t="s">
        <v>19</v>
      </c>
      <c r="Q78" s="79" t="s">
        <v>198</v>
      </c>
    </row>
    <row r="79" spans="1:17" ht="30.75" hidden="1">
      <c r="A79" s="113">
        <f>IFERROR(INDEX(Tabela2[ID_Area], MATCH(B79,Tabela2[Area], 0)), "Não encontrado")</f>
        <v>1001</v>
      </c>
      <c r="B79" s="47" t="s">
        <v>66</v>
      </c>
      <c r="C79" s="48" t="s">
        <v>86</v>
      </c>
      <c r="D79" s="62">
        <f>IFERROR(INDEX(Metas!$D$2:$D$104, MATCH(E79,Metas!$E$2:$E$104, 0)), "Não encontrado")</f>
        <v>138</v>
      </c>
      <c r="E79" s="63" t="s">
        <v>89</v>
      </c>
      <c r="F79" s="63" t="s">
        <v>271</v>
      </c>
      <c r="G79" s="62" t="str">
        <f t="shared" ca="1" si="5"/>
        <v>Concluído</v>
      </c>
      <c r="H79" s="86">
        <v>45833</v>
      </c>
      <c r="I79" s="73">
        <v>1</v>
      </c>
      <c r="J79" s="53">
        <f t="shared" si="7"/>
        <v>36.619718309859159</v>
      </c>
      <c r="K79" s="66">
        <v>45804</v>
      </c>
      <c r="L79" s="67">
        <v>45868</v>
      </c>
      <c r="M79" s="68">
        <f t="shared" si="6"/>
        <v>65</v>
      </c>
      <c r="N79" s="69">
        <f>IFERROR(INDEX(Tabela3[ID_Responsavel], MATCH(O79,Tabela3[[Responsáveis ]], 0)), "Não encontrado")</f>
        <v>22</v>
      </c>
      <c r="O79" s="58" t="s">
        <v>88</v>
      </c>
      <c r="P79" s="59" t="s">
        <v>19</v>
      </c>
      <c r="Q79" s="79" t="s">
        <v>198</v>
      </c>
    </row>
    <row r="80" spans="1:17" ht="16.5" hidden="1">
      <c r="A80" s="117">
        <f>IFERROR(INDEX(Tabela2[ID_Area], MATCH(B80,Tabela2[Area], 0)), "Não encontrado")</f>
        <v>1001</v>
      </c>
      <c r="B80" s="47" t="s">
        <v>66</v>
      </c>
      <c r="C80" s="48" t="s">
        <v>55</v>
      </c>
      <c r="D80" s="62">
        <f>IFERROR(INDEX(Metas!$D$2:$D$104, MATCH(E80,Metas!$E$2:$E$104, 0)), "Não encontrado")</f>
        <v>139</v>
      </c>
      <c r="E80" s="63" t="s">
        <v>90</v>
      </c>
      <c r="F80" s="63" t="s">
        <v>272</v>
      </c>
      <c r="G80" s="62" t="str">
        <f t="shared" ca="1" si="5"/>
        <v>Concluído</v>
      </c>
      <c r="H80" s="86">
        <v>45659</v>
      </c>
      <c r="I80" s="73">
        <v>1</v>
      </c>
      <c r="J80" s="53">
        <f t="shared" si="7"/>
        <v>35.907590759075909</v>
      </c>
      <c r="K80" s="66">
        <v>45659</v>
      </c>
      <c r="L80" s="85">
        <v>45930</v>
      </c>
      <c r="M80" s="68">
        <f t="shared" si="6"/>
        <v>272</v>
      </c>
      <c r="N80" s="69">
        <f>IFERROR(INDEX(Tabela3[ID_Responsavel], MATCH(O80,Tabela3[[Responsáveis ]], 0)), "Não encontrado")</f>
        <v>22</v>
      </c>
      <c r="O80" s="58" t="s">
        <v>88</v>
      </c>
      <c r="P80" s="59" t="s">
        <v>19</v>
      </c>
      <c r="Q80" s="79" t="s">
        <v>273</v>
      </c>
    </row>
    <row r="81" spans="1:17" ht="16.5" hidden="1">
      <c r="A81" s="113">
        <f>IFERROR(INDEX(Tabela2[ID_Area], MATCH(B81,Tabela2[Area], 0)), "Não encontrado")</f>
        <v>1001</v>
      </c>
      <c r="B81" s="47" t="s">
        <v>66</v>
      </c>
      <c r="C81" s="48" t="s">
        <v>55</v>
      </c>
      <c r="D81" s="62">
        <f>IFERROR(INDEX(Metas!$D$2:$D$104, MATCH(E81,Metas!$E$2:$E$104, 0)), "Não encontrado")</f>
        <v>139</v>
      </c>
      <c r="E81" s="63" t="s">
        <v>90</v>
      </c>
      <c r="F81" s="63" t="s">
        <v>274</v>
      </c>
      <c r="G81" s="62" t="str">
        <f t="shared" ca="1" si="5"/>
        <v>Concluído</v>
      </c>
      <c r="H81" s="86">
        <v>45681</v>
      </c>
      <c r="I81" s="73">
        <v>1</v>
      </c>
      <c r="J81" s="53">
        <f t="shared" si="7"/>
        <v>35.907590759075909</v>
      </c>
      <c r="K81" s="66">
        <v>45659</v>
      </c>
      <c r="L81" s="85">
        <v>45930</v>
      </c>
      <c r="M81" s="68">
        <f t="shared" si="6"/>
        <v>272</v>
      </c>
      <c r="N81" s="69">
        <f>IFERROR(INDEX(Tabela3[ID_Responsavel], MATCH(O81,Tabela3[[Responsáveis ]], 0)), "Não encontrado")</f>
        <v>22</v>
      </c>
      <c r="O81" s="58" t="s">
        <v>88</v>
      </c>
      <c r="P81" s="59" t="s">
        <v>19</v>
      </c>
      <c r="Q81" s="79" t="s">
        <v>198</v>
      </c>
    </row>
    <row r="82" spans="1:17" ht="16.5" hidden="1">
      <c r="A82" s="117">
        <f>IFERROR(INDEX(Tabela2[ID_Area], MATCH(B82,Tabela2[Area], 0)), "Não encontrado")</f>
        <v>1001</v>
      </c>
      <c r="B82" s="47" t="s">
        <v>66</v>
      </c>
      <c r="C82" s="48" t="s">
        <v>55</v>
      </c>
      <c r="D82" s="62">
        <f>IFERROR(INDEX(Metas!$D$2:$D$104, MATCH(E82,Metas!$E$2:$E$104, 0)), "Não encontrado")</f>
        <v>139</v>
      </c>
      <c r="E82" s="63" t="s">
        <v>90</v>
      </c>
      <c r="F82" s="63" t="s">
        <v>275</v>
      </c>
      <c r="G82" s="62" t="str">
        <f t="shared" ca="1" si="5"/>
        <v>Concluído</v>
      </c>
      <c r="H82" s="86">
        <v>45841</v>
      </c>
      <c r="I82" s="73">
        <v>1</v>
      </c>
      <c r="J82" s="53">
        <f t="shared" si="7"/>
        <v>28.118811881188119</v>
      </c>
      <c r="K82" s="84">
        <v>45749</v>
      </c>
      <c r="L82" s="85">
        <v>45961</v>
      </c>
      <c r="M82" s="68">
        <f t="shared" si="6"/>
        <v>213</v>
      </c>
      <c r="N82" s="69">
        <f>IFERROR(INDEX(Tabela3[ID_Responsavel], MATCH(O82,Tabela3[[Responsáveis ]], 0)), "Não encontrado")</f>
        <v>22</v>
      </c>
      <c r="O82" s="58" t="s">
        <v>88</v>
      </c>
      <c r="P82" s="59" t="s">
        <v>19</v>
      </c>
      <c r="Q82" s="79" t="s">
        <v>198</v>
      </c>
    </row>
    <row r="83" spans="1:17" ht="16.5" hidden="1">
      <c r="A83" s="113">
        <f>IFERROR(INDEX(Tabela2[ID_Area], MATCH(B83,Tabela2[Area], 0)), "Não encontrado")</f>
        <v>1001</v>
      </c>
      <c r="B83" s="47" t="s">
        <v>66</v>
      </c>
      <c r="C83" s="48" t="s">
        <v>55</v>
      </c>
      <c r="D83" s="62">
        <f>IFERROR(INDEX(Metas!$D$2:$D$104, MATCH(E83,Metas!$E$2:$E$104, 0)), "Não encontrado")</f>
        <v>139</v>
      </c>
      <c r="E83" s="63" t="s">
        <v>90</v>
      </c>
      <c r="F83" s="63" t="s">
        <v>276</v>
      </c>
      <c r="G83" s="62" t="str">
        <f t="shared" ca="1" si="5"/>
        <v>Concluído</v>
      </c>
      <c r="H83" s="86">
        <v>45966</v>
      </c>
      <c r="I83" s="73">
        <v>1</v>
      </c>
      <c r="J83" s="53">
        <f t="shared" si="7"/>
        <v>20.066006600660067</v>
      </c>
      <c r="K83" s="84">
        <v>45870</v>
      </c>
      <c r="L83" s="85">
        <v>46021</v>
      </c>
      <c r="M83" s="68">
        <f t="shared" si="6"/>
        <v>152</v>
      </c>
      <c r="N83" s="69">
        <f>IFERROR(INDEX(Tabela3[ID_Responsavel], MATCH(O83,Tabela3[[Responsáveis ]], 0)), "Não encontrado")</f>
        <v>22</v>
      </c>
      <c r="O83" s="58" t="s">
        <v>88</v>
      </c>
      <c r="P83" s="59" t="s">
        <v>19</v>
      </c>
      <c r="Q83" s="79" t="s">
        <v>198</v>
      </c>
    </row>
    <row r="84" spans="1:17" ht="30" hidden="1">
      <c r="A84" s="117">
        <f>IFERROR(INDEX(Tabela2[ID_Area], MATCH(B84,Tabela2[Area], 0)), "Não encontrado")</f>
        <v>1001</v>
      </c>
      <c r="B84" s="47" t="s">
        <v>66</v>
      </c>
      <c r="C84" s="48" t="s">
        <v>55</v>
      </c>
      <c r="D84" s="62">
        <f>IFERROR(INDEX(Metas!$D$2:$D$104, MATCH(E84,Metas!$E$2:$E$104, 0)), "Não encontrado")</f>
        <v>140</v>
      </c>
      <c r="E84" s="63" t="s">
        <v>91</v>
      </c>
      <c r="F84" s="63" t="s">
        <v>272</v>
      </c>
      <c r="G84" s="62" t="str">
        <f t="shared" ca="1" si="5"/>
        <v>Concluído</v>
      </c>
      <c r="H84" s="86">
        <v>45761</v>
      </c>
      <c r="I84" s="73">
        <v>1</v>
      </c>
      <c r="J84" s="53">
        <f t="shared" si="7"/>
        <v>34.723404255319146</v>
      </c>
      <c r="K84" s="66">
        <v>45659</v>
      </c>
      <c r="L84" s="85">
        <v>45930</v>
      </c>
      <c r="M84" s="68">
        <f t="shared" si="6"/>
        <v>272</v>
      </c>
      <c r="N84" s="69">
        <f>IFERROR(INDEX(Tabela3[ID_Responsavel], MATCH(O84,Tabela3[[Responsáveis ]], 0)), "Não encontrado")</f>
        <v>22</v>
      </c>
      <c r="O84" s="58" t="s">
        <v>88</v>
      </c>
      <c r="P84" s="59" t="s">
        <v>19</v>
      </c>
      <c r="Q84" s="81" t="s">
        <v>277</v>
      </c>
    </row>
    <row r="85" spans="1:17" ht="16.5" hidden="1">
      <c r="A85" s="113">
        <f>IFERROR(INDEX(Tabela2[ID_Area], MATCH(B85,Tabela2[Area], 0)), "Não encontrado")</f>
        <v>1001</v>
      </c>
      <c r="B85" s="47" t="s">
        <v>66</v>
      </c>
      <c r="C85" s="48" t="s">
        <v>55</v>
      </c>
      <c r="D85" s="62">
        <f>IFERROR(INDEX(Metas!$D$2:$D$104, MATCH(E85,Metas!$E$2:$E$104, 0)), "Não encontrado")</f>
        <v>140</v>
      </c>
      <c r="E85" s="63" t="s">
        <v>91</v>
      </c>
      <c r="F85" s="63" t="s">
        <v>274</v>
      </c>
      <c r="G85" s="62" t="str">
        <f t="shared" ca="1" si="5"/>
        <v>Concluído</v>
      </c>
      <c r="H85" s="86">
        <v>45761</v>
      </c>
      <c r="I85" s="73">
        <v>1</v>
      </c>
      <c r="J85" s="53">
        <f t="shared" si="7"/>
        <v>34.723404255319146</v>
      </c>
      <c r="K85" s="66">
        <v>45659</v>
      </c>
      <c r="L85" s="85">
        <v>45930</v>
      </c>
      <c r="M85" s="68">
        <f t="shared" si="6"/>
        <v>272</v>
      </c>
      <c r="N85" s="69">
        <f>IFERROR(INDEX(Tabela3[ID_Responsavel], MATCH(O85,Tabela3[[Responsáveis ]], 0)), "Não encontrado")</f>
        <v>22</v>
      </c>
      <c r="O85" s="58" t="s">
        <v>88</v>
      </c>
      <c r="P85" s="59" t="s">
        <v>19</v>
      </c>
      <c r="Q85" s="79" t="s">
        <v>198</v>
      </c>
    </row>
    <row r="86" spans="1:17" ht="16.5" hidden="1">
      <c r="A86" s="117">
        <f>IFERROR(INDEX(Tabela2[ID_Area], MATCH(B86,Tabela2[Area], 0)), "Não encontrado")</f>
        <v>1001</v>
      </c>
      <c r="B86" s="47" t="s">
        <v>66</v>
      </c>
      <c r="C86" s="48" t="s">
        <v>55</v>
      </c>
      <c r="D86" s="62">
        <f>IFERROR(INDEX(Metas!$D$2:$D$104, MATCH(E86,Metas!$E$2:$E$104, 0)), "Não encontrado")</f>
        <v>140</v>
      </c>
      <c r="E86" s="63" t="s">
        <v>91</v>
      </c>
      <c r="F86" s="63" t="s">
        <v>278</v>
      </c>
      <c r="G86" s="62" t="str">
        <f t="shared" ca="1" si="5"/>
        <v>Concluído</v>
      </c>
      <c r="H86" s="86">
        <v>45874</v>
      </c>
      <c r="I86" s="73">
        <v>1</v>
      </c>
      <c r="J86" s="53">
        <f t="shared" si="7"/>
        <v>27.191489361702128</v>
      </c>
      <c r="K86" s="84">
        <v>45749</v>
      </c>
      <c r="L86" s="85">
        <v>45961</v>
      </c>
      <c r="M86" s="68">
        <f t="shared" si="6"/>
        <v>213</v>
      </c>
      <c r="N86" s="69">
        <f>IFERROR(INDEX(Tabela3[ID_Responsavel], MATCH(O86,Tabela3[[Responsáveis ]], 0)), "Não encontrado")</f>
        <v>22</v>
      </c>
      <c r="O86" s="58" t="s">
        <v>88</v>
      </c>
      <c r="P86" s="59" t="s">
        <v>19</v>
      </c>
      <c r="Q86" s="79" t="s">
        <v>198</v>
      </c>
    </row>
    <row r="87" spans="1:17" ht="16.5" hidden="1">
      <c r="A87" s="113">
        <f>IFERROR(INDEX(Tabela2[ID_Area], MATCH(B87,Tabela2[Area], 0)), "Não encontrado")</f>
        <v>1001</v>
      </c>
      <c r="B87" s="47" t="s">
        <v>66</v>
      </c>
      <c r="C87" s="48" t="s">
        <v>55</v>
      </c>
      <c r="D87" s="62">
        <f>IFERROR(INDEX(Metas!$D$2:$D$104, MATCH(E87,Metas!$E$2:$E$104, 0)), "Não encontrado")</f>
        <v>140</v>
      </c>
      <c r="E87" s="63" t="s">
        <v>91</v>
      </c>
      <c r="F87" s="63" t="s">
        <v>279</v>
      </c>
      <c r="G87" s="62" t="str">
        <f t="shared" ca="1" si="5"/>
        <v>Concluído</v>
      </c>
      <c r="H87" s="86">
        <v>45791</v>
      </c>
      <c r="I87" s="73">
        <v>1</v>
      </c>
      <c r="J87" s="53">
        <f t="shared" si="7"/>
        <v>23.361702127659576</v>
      </c>
      <c r="K87" s="84">
        <v>45839</v>
      </c>
      <c r="L87" s="85">
        <v>46021</v>
      </c>
      <c r="M87" s="68">
        <f t="shared" si="6"/>
        <v>183</v>
      </c>
      <c r="N87" s="69">
        <f>IFERROR(INDEX(Tabela3[ID_Responsavel], MATCH(O87,Tabela3[[Responsáveis ]], 0)), "Não encontrado")</f>
        <v>22</v>
      </c>
      <c r="O87" s="58" t="s">
        <v>88</v>
      </c>
      <c r="P87" s="59" t="s">
        <v>19</v>
      </c>
      <c r="Q87" s="79" t="s">
        <v>198</v>
      </c>
    </row>
    <row r="88" spans="1:17" ht="30.75" hidden="1">
      <c r="A88" s="117">
        <f>IFERROR(INDEX(Tabela2[ID_Area], MATCH(B88,Tabela2[Area], 0)), "Não encontrado")</f>
        <v>1001</v>
      </c>
      <c r="B88" s="47" t="s">
        <v>66</v>
      </c>
      <c r="C88" s="48" t="s">
        <v>99</v>
      </c>
      <c r="D88" s="62">
        <f>IFERROR(INDEX(Metas!$D$2:$D$104, MATCH(E88,Metas!$E$2:$E$104, 0)), "Não encontrado")</f>
        <v>146</v>
      </c>
      <c r="E88" s="63" t="s">
        <v>100</v>
      </c>
      <c r="F88" s="63" t="s">
        <v>280</v>
      </c>
      <c r="G88" s="62" t="str">
        <f t="shared" ref="G88:G151" ca="1" si="8">IF(I88=1,"Concluído",
   IF(TODAY()&gt;L88,"Atrasado",
      IF(AND(I88=0,TODAY()&lt;K88),"Não iniciado",
         "Em Andamento")))</f>
        <v>Concluído</v>
      </c>
      <c r="H88" s="86">
        <v>45713</v>
      </c>
      <c r="I88" s="87">
        <v>1</v>
      </c>
      <c r="J88" s="53">
        <f t="shared" si="7"/>
        <v>11.601208459214501</v>
      </c>
      <c r="K88" s="84">
        <v>45663</v>
      </c>
      <c r="L88" s="85">
        <v>45694</v>
      </c>
      <c r="M88" s="68">
        <f t="shared" ref="M88:M151" si="9" xml:space="preserve"> L88 - K88 + 1</f>
        <v>32</v>
      </c>
      <c r="N88" s="69">
        <f>IFERROR(INDEX(Tabela3[ID_Responsavel], MATCH(O88,Tabela3[[Responsáveis ]], 0)), "Não encontrado")</f>
        <v>26</v>
      </c>
      <c r="O88" s="58" t="s">
        <v>101</v>
      </c>
      <c r="P88" s="59" t="s">
        <v>281</v>
      </c>
      <c r="Q88" s="79"/>
    </row>
    <row r="89" spans="1:17" ht="30.75" hidden="1">
      <c r="A89" s="113">
        <f>IFERROR(INDEX(Tabela2[ID_Area], MATCH(B89,Tabela2[Area], 0)), "Não encontrado")</f>
        <v>1001</v>
      </c>
      <c r="B89" s="47" t="s">
        <v>66</v>
      </c>
      <c r="C89" s="48" t="s">
        <v>99</v>
      </c>
      <c r="D89" s="62">
        <f>IFERROR(INDEX(Metas!$D$2:$D$104, MATCH(E89,Metas!$E$2:$E$104, 0)), "Não encontrado")</f>
        <v>146</v>
      </c>
      <c r="E89" s="63" t="s">
        <v>100</v>
      </c>
      <c r="F89" s="63" t="s">
        <v>282</v>
      </c>
      <c r="G89" s="62" t="str">
        <f t="shared" ca="1" si="8"/>
        <v>Concluído</v>
      </c>
      <c r="H89" s="86">
        <v>45961</v>
      </c>
      <c r="I89" s="87">
        <v>1</v>
      </c>
      <c r="J89" s="53">
        <f t="shared" si="7"/>
        <v>108.3987915407855</v>
      </c>
      <c r="K89" s="84">
        <v>45663</v>
      </c>
      <c r="L89" s="85">
        <v>45961</v>
      </c>
      <c r="M89" s="68">
        <f t="shared" si="9"/>
        <v>299</v>
      </c>
      <c r="N89" s="69">
        <f>IFERROR(INDEX(Tabela3[ID_Responsavel], MATCH(O89,Tabela3[[Responsáveis ]], 0)), "Não encontrado")</f>
        <v>26</v>
      </c>
      <c r="O89" s="58" t="s">
        <v>101</v>
      </c>
      <c r="P89" s="59" t="s">
        <v>281</v>
      </c>
      <c r="Q89" s="81" t="s">
        <v>283</v>
      </c>
    </row>
    <row r="90" spans="1:17" ht="30.75" hidden="1">
      <c r="A90" s="117">
        <f>IFERROR(INDEX(Tabela2[ID_Area], MATCH(B90,Tabela2[Area], 0)), "Não encontrado")</f>
        <v>1001</v>
      </c>
      <c r="B90" s="47" t="s">
        <v>66</v>
      </c>
      <c r="C90" s="48" t="s">
        <v>99</v>
      </c>
      <c r="D90" s="62">
        <f>IFERROR(INDEX(Metas!$D$2:$D$104, MATCH(E90,Metas!$E$2:$E$104, 0)), "Não encontrado")</f>
        <v>147</v>
      </c>
      <c r="E90" s="63" t="s">
        <v>102</v>
      </c>
      <c r="F90" s="63" t="s">
        <v>284</v>
      </c>
      <c r="G90" s="62" t="str">
        <f t="shared" ca="1" si="8"/>
        <v>Concluído</v>
      </c>
      <c r="H90" s="86">
        <v>45764</v>
      </c>
      <c r="I90" s="87">
        <v>1</v>
      </c>
      <c r="J90" s="53">
        <f t="shared" si="7"/>
        <v>10</v>
      </c>
      <c r="K90" s="84">
        <v>45663</v>
      </c>
      <c r="L90" s="85">
        <v>45694</v>
      </c>
      <c r="M90" s="68">
        <f t="shared" si="9"/>
        <v>32</v>
      </c>
      <c r="N90" s="69">
        <f>IFERROR(INDEX(Tabela3[ID_Responsavel], MATCH(O90,Tabela3[[Responsáveis ]], 0)), "Não encontrado")</f>
        <v>26</v>
      </c>
      <c r="O90" s="58" t="s">
        <v>101</v>
      </c>
      <c r="P90" s="59" t="s">
        <v>281</v>
      </c>
      <c r="Q90" s="79"/>
    </row>
    <row r="91" spans="1:17" ht="30.75" hidden="1">
      <c r="A91" s="113">
        <f>IFERROR(INDEX(Tabela2[ID_Area], MATCH(B91,Tabela2[Area], 0)), "Não encontrado")</f>
        <v>1001</v>
      </c>
      <c r="B91" s="47" t="s">
        <v>66</v>
      </c>
      <c r="C91" s="48" t="s">
        <v>99</v>
      </c>
      <c r="D91" s="62">
        <f>IFERROR(INDEX(Metas!$D$2:$D$104, MATCH(E91,Metas!$E$2:$E$104, 0)), "Não encontrado")</f>
        <v>147</v>
      </c>
      <c r="E91" s="63" t="s">
        <v>102</v>
      </c>
      <c r="F91" s="63" t="s">
        <v>285</v>
      </c>
      <c r="G91" s="62" t="str">
        <f t="shared" ca="1" si="8"/>
        <v>Concluído</v>
      </c>
      <c r="H91" s="86">
        <v>45931</v>
      </c>
      <c r="I91" s="65">
        <v>1</v>
      </c>
      <c r="J91" s="53">
        <f t="shared" si="7"/>
        <v>110</v>
      </c>
      <c r="K91" s="84">
        <v>45670</v>
      </c>
      <c r="L91" s="85">
        <v>46021</v>
      </c>
      <c r="M91" s="68">
        <f t="shared" si="9"/>
        <v>352</v>
      </c>
      <c r="N91" s="69">
        <f>IFERROR(INDEX(Tabela3[ID_Responsavel], MATCH(O91,Tabela3[[Responsáveis ]], 0)), "Não encontrado")</f>
        <v>26</v>
      </c>
      <c r="O91" s="58" t="s">
        <v>101</v>
      </c>
      <c r="P91" s="59" t="s">
        <v>281</v>
      </c>
      <c r="Q91" s="81"/>
    </row>
    <row r="92" spans="1:17" ht="16.5" hidden="1">
      <c r="A92" s="117">
        <f>IFERROR(INDEX(Tabela2[ID_Area], MATCH(B92,Tabela2[Area], 0)), "Não encontrado")</f>
        <v>1001</v>
      </c>
      <c r="B92" s="47" t="s">
        <v>66</v>
      </c>
      <c r="C92" s="48" t="s">
        <v>24</v>
      </c>
      <c r="D92" s="62">
        <f>IFERROR(INDEX(Metas!$D$2:$D$104, MATCH(E92,Metas!$E$2:$E$104, 0)), "Não encontrado")</f>
        <v>148</v>
      </c>
      <c r="E92" s="63" t="s">
        <v>103</v>
      </c>
      <c r="F92" s="63" t="s">
        <v>286</v>
      </c>
      <c r="G92" s="62" t="str">
        <f t="shared" ca="1" si="8"/>
        <v>Concluído</v>
      </c>
      <c r="H92" s="86">
        <v>45734</v>
      </c>
      <c r="I92" s="87">
        <v>1</v>
      </c>
      <c r="J92" s="53">
        <f t="shared" si="7"/>
        <v>33.247706422018354</v>
      </c>
      <c r="K92" s="84">
        <v>45292</v>
      </c>
      <c r="L92" s="85">
        <v>45442</v>
      </c>
      <c r="M92" s="68">
        <f t="shared" si="9"/>
        <v>151</v>
      </c>
      <c r="N92" s="69">
        <f>IFERROR(INDEX(Tabela3[ID_Responsavel], MATCH(O92,Tabela3[[Responsáveis ]], 0)), "Não encontrado")</f>
        <v>26</v>
      </c>
      <c r="O92" s="58" t="s">
        <v>101</v>
      </c>
      <c r="P92" s="59" t="s">
        <v>281</v>
      </c>
      <c r="Q92" s="79"/>
    </row>
    <row r="93" spans="1:17" ht="16.5" hidden="1">
      <c r="A93" s="113">
        <f>IFERROR(INDEX(Tabela2[ID_Area], MATCH(B93,Tabela2[Area], 0)), "Não encontrado")</f>
        <v>1001</v>
      </c>
      <c r="B93" s="47" t="s">
        <v>66</v>
      </c>
      <c r="C93" s="48" t="s">
        <v>24</v>
      </c>
      <c r="D93" s="62">
        <f>IFERROR(INDEX(Metas!$D$2:$D$104, MATCH(E93,Metas!$E$2:$E$104, 0)), "Não encontrado")</f>
        <v>148</v>
      </c>
      <c r="E93" s="63" t="s">
        <v>103</v>
      </c>
      <c r="F93" s="63" t="s">
        <v>287</v>
      </c>
      <c r="G93" s="62" t="str">
        <f t="shared" ca="1" si="8"/>
        <v>Concluído</v>
      </c>
      <c r="H93" s="86">
        <v>45734</v>
      </c>
      <c r="I93" s="87">
        <v>1</v>
      </c>
      <c r="J93" s="53">
        <f t="shared" si="7"/>
        <v>33.247706422018354</v>
      </c>
      <c r="K93" s="84">
        <v>45292</v>
      </c>
      <c r="L93" s="85">
        <v>45442</v>
      </c>
      <c r="M93" s="68">
        <f t="shared" si="9"/>
        <v>151</v>
      </c>
      <c r="N93" s="69">
        <f>IFERROR(INDEX(Tabela3[ID_Responsavel], MATCH(O93,Tabela3[[Responsáveis ]], 0)), "Não encontrado")</f>
        <v>26</v>
      </c>
      <c r="O93" s="58" t="s">
        <v>101</v>
      </c>
      <c r="P93" s="59" t="s">
        <v>281</v>
      </c>
      <c r="Q93" s="81"/>
    </row>
    <row r="94" spans="1:17" ht="60" hidden="1">
      <c r="A94" s="117">
        <f>IFERROR(INDEX(Tabela2[ID_Area], MATCH(B94,Tabela2[Area], 0)), "Não encontrado")</f>
        <v>1001</v>
      </c>
      <c r="B94" s="47" t="s">
        <v>66</v>
      </c>
      <c r="C94" s="48" t="s">
        <v>24</v>
      </c>
      <c r="D94" s="62">
        <f>IFERROR(INDEX(Metas!$D$2:$D$104, MATCH(E94,Metas!$E$2:$E$104, 0)), "Não encontrado")</f>
        <v>148</v>
      </c>
      <c r="E94" s="63" t="s">
        <v>103</v>
      </c>
      <c r="F94" s="63" t="s">
        <v>288</v>
      </c>
      <c r="G94" s="62" t="str">
        <f t="shared" ca="1" si="8"/>
        <v>Concluído</v>
      </c>
      <c r="H94" s="86">
        <v>45734</v>
      </c>
      <c r="I94" s="65">
        <v>1</v>
      </c>
      <c r="J94" s="53">
        <f t="shared" si="7"/>
        <v>20.036697247706424</v>
      </c>
      <c r="K94" s="84">
        <v>45352</v>
      </c>
      <c r="L94" s="85">
        <v>45442</v>
      </c>
      <c r="M94" s="68">
        <f t="shared" si="9"/>
        <v>91</v>
      </c>
      <c r="N94" s="69">
        <f>IFERROR(INDEX(Tabela3[ID_Responsavel], MATCH(O94,Tabela3[[Responsáveis ]], 0)), "Não encontrado")</f>
        <v>26</v>
      </c>
      <c r="O94" s="58" t="s">
        <v>101</v>
      </c>
      <c r="P94" s="59" t="s">
        <v>281</v>
      </c>
      <c r="Q94" s="81" t="s">
        <v>289</v>
      </c>
    </row>
    <row r="95" spans="1:17" ht="16.5" hidden="1">
      <c r="A95" s="113">
        <f>IFERROR(INDEX(Tabela2[ID_Area], MATCH(B95,Tabela2[Area], 0)), "Não encontrado")</f>
        <v>1001</v>
      </c>
      <c r="B95" s="47" t="s">
        <v>66</v>
      </c>
      <c r="C95" s="48" t="s">
        <v>24</v>
      </c>
      <c r="D95" s="62">
        <f>IFERROR(INDEX(Metas!$D$2:$D$104, MATCH(E95,Metas!$E$2:$E$104, 0)), "Não encontrado")</f>
        <v>148</v>
      </c>
      <c r="E95" s="63" t="s">
        <v>103</v>
      </c>
      <c r="F95" s="63" t="s">
        <v>290</v>
      </c>
      <c r="G95" s="62" t="str">
        <f t="shared" ca="1" si="8"/>
        <v>Concluído</v>
      </c>
      <c r="H95" s="86">
        <v>45960</v>
      </c>
      <c r="I95" s="65">
        <v>1</v>
      </c>
      <c r="J95" s="53">
        <f t="shared" si="7"/>
        <v>33.467889908256879</v>
      </c>
      <c r="K95" s="84">
        <v>45809</v>
      </c>
      <c r="L95" s="85">
        <v>45960</v>
      </c>
      <c r="M95" s="68">
        <f t="shared" si="9"/>
        <v>152</v>
      </c>
      <c r="N95" s="69">
        <f>IFERROR(INDEX(Tabela3[ID_Responsavel], MATCH(O95,Tabela3[[Responsáveis ]], 0)), "Não encontrado")</f>
        <v>26</v>
      </c>
      <c r="O95" s="58" t="s">
        <v>101</v>
      </c>
      <c r="P95" s="59" t="s">
        <v>281</v>
      </c>
      <c r="Q95" s="79"/>
    </row>
    <row r="96" spans="1:17" ht="30" hidden="1">
      <c r="A96" s="117">
        <f>IFERROR(INDEX(Tabela2[ID_Area], MATCH(B96,Tabela2[Area], 0)), "Não encontrado")</f>
        <v>1001</v>
      </c>
      <c r="B96" s="47" t="s">
        <v>66</v>
      </c>
      <c r="C96" s="48" t="s">
        <v>55</v>
      </c>
      <c r="D96" s="62">
        <f>IFERROR(INDEX(Metas!$D$2:$D$104, MATCH(E96,Metas!$E$2:$E$104, 0)), "Não encontrado")</f>
        <v>157</v>
      </c>
      <c r="E96" s="63" t="s">
        <v>117</v>
      </c>
      <c r="F96" s="63" t="s">
        <v>272</v>
      </c>
      <c r="G96" s="62" t="str">
        <f t="shared" ca="1" si="8"/>
        <v>Concluído</v>
      </c>
      <c r="H96" s="86">
        <v>45800</v>
      </c>
      <c r="I96" s="65">
        <v>1</v>
      </c>
      <c r="J96" s="53">
        <f t="shared" si="7"/>
        <v>35.907590759075909</v>
      </c>
      <c r="K96" s="84">
        <v>45659</v>
      </c>
      <c r="L96" s="85">
        <v>45930</v>
      </c>
      <c r="M96" s="68">
        <f t="shared" si="9"/>
        <v>272</v>
      </c>
      <c r="N96" s="69">
        <f>IFERROR(INDEX(Tabela3[ID_Responsavel], MATCH(O96,Tabela3[[Responsáveis ]], 0)), "Não encontrado")</f>
        <v>10</v>
      </c>
      <c r="O96" s="58" t="s">
        <v>115</v>
      </c>
      <c r="P96" s="59" t="s">
        <v>281</v>
      </c>
      <c r="Q96" s="81" t="s">
        <v>291</v>
      </c>
    </row>
    <row r="97" spans="1:17" ht="16.5" hidden="1">
      <c r="A97" s="113">
        <f>IFERROR(INDEX(Tabela2[ID_Area], MATCH(B97,Tabela2[Area], 0)), "Não encontrado")</f>
        <v>1001</v>
      </c>
      <c r="B97" s="47" t="s">
        <v>66</v>
      </c>
      <c r="C97" s="48" t="s">
        <v>55</v>
      </c>
      <c r="D97" s="62">
        <f>IFERROR(INDEX(Metas!$D$2:$D$104, MATCH(E97,Metas!$E$2:$E$104, 0)), "Não encontrado")</f>
        <v>157</v>
      </c>
      <c r="E97" s="63" t="s">
        <v>117</v>
      </c>
      <c r="F97" s="63" t="s">
        <v>274</v>
      </c>
      <c r="G97" s="62" t="str">
        <f t="shared" ca="1" si="8"/>
        <v>Concluído</v>
      </c>
      <c r="H97" s="86">
        <v>45681</v>
      </c>
      <c r="I97" s="65">
        <v>1</v>
      </c>
      <c r="J97" s="53">
        <f t="shared" si="7"/>
        <v>35.907590759075909</v>
      </c>
      <c r="K97" s="84">
        <v>45659</v>
      </c>
      <c r="L97" s="85">
        <v>45930</v>
      </c>
      <c r="M97" s="68">
        <f t="shared" si="9"/>
        <v>272</v>
      </c>
      <c r="N97" s="69">
        <f>IFERROR(INDEX(Tabela3[ID_Responsavel], MATCH(O97,Tabela3[[Responsáveis ]], 0)), "Não encontrado")</f>
        <v>10</v>
      </c>
      <c r="O97" s="58" t="s">
        <v>115</v>
      </c>
      <c r="P97" s="59" t="s">
        <v>281</v>
      </c>
      <c r="Q97" s="79" t="s">
        <v>292</v>
      </c>
    </row>
    <row r="98" spans="1:17" ht="16.5" hidden="1">
      <c r="A98" s="117">
        <f>IFERROR(INDEX(Tabela2[ID_Area], MATCH(B98,Tabela2[Area], 0)), "Não encontrado")</f>
        <v>1001</v>
      </c>
      <c r="B98" s="47" t="s">
        <v>66</v>
      </c>
      <c r="C98" s="48" t="s">
        <v>55</v>
      </c>
      <c r="D98" s="62">
        <f>IFERROR(INDEX(Metas!$D$2:$D$104, MATCH(E98,Metas!$E$2:$E$104, 0)), "Não encontrado")</f>
        <v>157</v>
      </c>
      <c r="E98" s="63" t="s">
        <v>117</v>
      </c>
      <c r="F98" s="63" t="s">
        <v>275</v>
      </c>
      <c r="G98" s="62" t="str">
        <f t="shared" ca="1" si="8"/>
        <v>Concluído</v>
      </c>
      <c r="H98" s="86"/>
      <c r="I98" s="65">
        <v>1</v>
      </c>
      <c r="J98" s="53">
        <f t="shared" si="7"/>
        <v>28.118811881188119</v>
      </c>
      <c r="K98" s="84">
        <v>45749</v>
      </c>
      <c r="L98" s="85">
        <v>45961</v>
      </c>
      <c r="M98" s="68">
        <f t="shared" si="9"/>
        <v>213</v>
      </c>
      <c r="N98" s="69">
        <f>IFERROR(INDEX(Tabela3[ID_Responsavel], MATCH(O98,Tabela3[[Responsáveis ]], 0)), "Não encontrado")</f>
        <v>10</v>
      </c>
      <c r="O98" s="58" t="s">
        <v>115</v>
      </c>
      <c r="P98" s="59" t="s">
        <v>281</v>
      </c>
      <c r="Q98" s="79" t="s">
        <v>293</v>
      </c>
    </row>
    <row r="99" spans="1:17" ht="16.5" hidden="1">
      <c r="A99" s="113">
        <f>IFERROR(INDEX(Tabela2[ID_Area], MATCH(B99,Tabela2[Area], 0)), "Não encontrado")</f>
        <v>1001</v>
      </c>
      <c r="B99" s="47" t="s">
        <v>66</v>
      </c>
      <c r="C99" s="48" t="s">
        <v>55</v>
      </c>
      <c r="D99" s="62">
        <f>IFERROR(INDEX(Metas!$D$2:$D$104, MATCH(E99,Metas!$E$2:$E$104, 0)), "Não encontrado")</f>
        <v>157</v>
      </c>
      <c r="E99" s="63" t="s">
        <v>117</v>
      </c>
      <c r="F99" s="63" t="s">
        <v>276</v>
      </c>
      <c r="G99" s="62" t="str">
        <f t="shared" ca="1" si="8"/>
        <v>Concluído</v>
      </c>
      <c r="H99" s="86"/>
      <c r="I99" s="65">
        <v>1</v>
      </c>
      <c r="J99" s="53">
        <f t="shared" si="7"/>
        <v>20.066006600660067</v>
      </c>
      <c r="K99" s="84">
        <v>45870</v>
      </c>
      <c r="L99" s="85">
        <v>46021</v>
      </c>
      <c r="M99" s="68">
        <f t="shared" si="9"/>
        <v>152</v>
      </c>
      <c r="N99" s="69">
        <f>IFERROR(INDEX(Tabela3[ID_Responsavel], MATCH(O99,Tabela3[[Responsáveis ]], 0)), "Não encontrado")</f>
        <v>10</v>
      </c>
      <c r="O99" s="58" t="s">
        <v>115</v>
      </c>
      <c r="P99" s="59" t="s">
        <v>281</v>
      </c>
      <c r="Q99" s="79" t="s">
        <v>294</v>
      </c>
    </row>
    <row r="100" spans="1:17" ht="16.5" hidden="1">
      <c r="A100" s="117">
        <f>IFERROR(INDEX(Tabela2[ID_Area], MATCH(B100,Tabela2[Area], 0)), "Não encontrado")</f>
        <v>1001</v>
      </c>
      <c r="B100" s="47" t="s">
        <v>66</v>
      </c>
      <c r="C100" s="48" t="s">
        <v>55</v>
      </c>
      <c r="D100" s="62">
        <f>IFERROR(INDEX(Metas!$D$2:$D$104, MATCH(E100,Metas!$E$2:$E$104, 0)), "Não encontrado")</f>
        <v>156</v>
      </c>
      <c r="E100" s="63" t="s">
        <v>114</v>
      </c>
      <c r="F100" s="63" t="s">
        <v>295</v>
      </c>
      <c r="G100" s="62" t="str">
        <f t="shared" ca="1" si="8"/>
        <v>Concluído</v>
      </c>
      <c r="H100" s="83" t="s">
        <v>198</v>
      </c>
      <c r="I100" s="65">
        <v>1</v>
      </c>
      <c r="J100" s="53">
        <f t="shared" si="7"/>
        <v>51.240188383045528</v>
      </c>
      <c r="K100" s="66">
        <v>45659</v>
      </c>
      <c r="L100" s="85">
        <v>45930</v>
      </c>
      <c r="M100" s="68">
        <f t="shared" si="9"/>
        <v>272</v>
      </c>
      <c r="N100" s="69">
        <f>IFERROR(INDEX(Tabela3[ID_Responsavel], MATCH(O100,Tabela3[[Responsáveis ]], 0)), "Não encontrado")</f>
        <v>10</v>
      </c>
      <c r="O100" s="58" t="s">
        <v>115</v>
      </c>
      <c r="P100" s="59" t="s">
        <v>281</v>
      </c>
      <c r="Q100" s="79" t="s">
        <v>296</v>
      </c>
    </row>
    <row r="101" spans="1:17" ht="16.5" hidden="1">
      <c r="A101" s="113">
        <f>IFERROR(INDEX(Tabela2[ID_Area], MATCH(B101,Tabela2[Area], 0)), "Não encontrado")</f>
        <v>1001</v>
      </c>
      <c r="B101" s="47" t="s">
        <v>66</v>
      </c>
      <c r="C101" s="48" t="s">
        <v>55</v>
      </c>
      <c r="D101" s="62">
        <f>IFERROR(INDEX(Metas!$D$2:$D$104, MATCH(E101,Metas!$E$2:$E$104, 0)), "Não encontrado")</f>
        <v>156</v>
      </c>
      <c r="E101" s="63" t="s">
        <v>114</v>
      </c>
      <c r="F101" s="63" t="s">
        <v>297</v>
      </c>
      <c r="G101" s="62" t="str">
        <f t="shared" ca="1" si="8"/>
        <v>Concluído</v>
      </c>
      <c r="H101" s="83" t="s">
        <v>198</v>
      </c>
      <c r="I101" s="65">
        <v>1</v>
      </c>
      <c r="J101" s="53">
        <f t="shared" si="7"/>
        <v>40.125588697017271</v>
      </c>
      <c r="K101" s="84">
        <v>45749</v>
      </c>
      <c r="L101" s="85">
        <v>45961</v>
      </c>
      <c r="M101" s="68">
        <f t="shared" si="9"/>
        <v>213</v>
      </c>
      <c r="N101" s="69">
        <f>IFERROR(INDEX(Tabela3[ID_Responsavel], MATCH(O101,Tabela3[[Responsáveis ]], 0)), "Não encontrado")</f>
        <v>10</v>
      </c>
      <c r="O101" s="58" t="s">
        <v>115</v>
      </c>
      <c r="P101" s="59" t="s">
        <v>281</v>
      </c>
      <c r="Q101" s="79" t="s">
        <v>298</v>
      </c>
    </row>
    <row r="102" spans="1:17" ht="16.5" hidden="1">
      <c r="A102" s="117">
        <f>IFERROR(INDEX(Tabela2[ID_Area], MATCH(B102,Tabela2[Area], 0)), "Não encontrado")</f>
        <v>1001</v>
      </c>
      <c r="B102" s="47" t="s">
        <v>66</v>
      </c>
      <c r="C102" s="48" t="s">
        <v>55</v>
      </c>
      <c r="D102" s="62">
        <f>IFERROR(INDEX(Metas!$D$2:$D$104, MATCH(E102,Metas!$E$2:$E$104, 0)), "Não encontrado")</f>
        <v>156</v>
      </c>
      <c r="E102" s="63" t="s">
        <v>114</v>
      </c>
      <c r="F102" s="63" t="s">
        <v>299</v>
      </c>
      <c r="G102" s="62" t="str">
        <f t="shared" ca="1" si="8"/>
        <v>Atrasado</v>
      </c>
      <c r="H102" s="83" t="s">
        <v>198</v>
      </c>
      <c r="I102" s="65">
        <v>0</v>
      </c>
      <c r="J102" s="53">
        <f t="shared" si="7"/>
        <v>28.634222919937208</v>
      </c>
      <c r="K102" s="84">
        <v>45870</v>
      </c>
      <c r="L102" s="85">
        <v>46021</v>
      </c>
      <c r="M102" s="68">
        <f t="shared" si="9"/>
        <v>152</v>
      </c>
      <c r="N102" s="69">
        <f>IFERROR(INDEX(Tabela3[ID_Responsavel], MATCH(O102,Tabela3[[Responsáveis ]], 0)), "Não encontrado")</f>
        <v>10</v>
      </c>
      <c r="O102" s="58" t="s">
        <v>115</v>
      </c>
      <c r="P102" s="59" t="s">
        <v>281</v>
      </c>
      <c r="Q102" s="79" t="s">
        <v>300</v>
      </c>
    </row>
    <row r="103" spans="1:17" ht="16.5" hidden="1">
      <c r="A103" s="113">
        <f>IFERROR(INDEX(Tabela2[ID_Area], MATCH(B103,Tabela2[Area], 0)), "Não encontrado")</f>
        <v>1001</v>
      </c>
      <c r="B103" s="47" t="s">
        <v>66</v>
      </c>
      <c r="C103" s="48" t="s">
        <v>55</v>
      </c>
      <c r="D103" s="62">
        <f>IFERROR(INDEX(Metas!$D$2:$D$104, MATCH(E103,Metas!$E$2:$E$104, 0)), "Não encontrado")</f>
        <v>154</v>
      </c>
      <c r="E103" s="63" t="s">
        <v>111</v>
      </c>
      <c r="F103" s="63" t="s">
        <v>295</v>
      </c>
      <c r="G103" s="62" t="str">
        <f t="shared" ca="1" si="8"/>
        <v>Concluído</v>
      </c>
      <c r="H103" s="86">
        <v>45964</v>
      </c>
      <c r="I103" s="73">
        <v>1</v>
      </c>
      <c r="J103" s="53">
        <f t="shared" si="7"/>
        <v>55.20912547528517</v>
      </c>
      <c r="K103" s="66">
        <v>45659</v>
      </c>
      <c r="L103" s="85">
        <v>46021</v>
      </c>
      <c r="M103" s="68">
        <f t="shared" si="9"/>
        <v>363</v>
      </c>
      <c r="N103" s="69">
        <f>IFERROR(INDEX(Tabela3[ID_Responsavel], MATCH(O103,Tabela3[[Responsáveis ]], 0)), "Não encontrado")</f>
        <v>17</v>
      </c>
      <c r="O103" s="58" t="s">
        <v>112</v>
      </c>
      <c r="P103" s="59" t="s">
        <v>281</v>
      </c>
      <c r="Q103" s="79" t="s">
        <v>301</v>
      </c>
    </row>
    <row r="104" spans="1:17" ht="16.5" hidden="1">
      <c r="A104" s="117">
        <f>IFERROR(INDEX(Tabela2[ID_Area], MATCH(B104,Tabela2[Area], 0)), "Não encontrado")</f>
        <v>1001</v>
      </c>
      <c r="B104" s="47" t="s">
        <v>66</v>
      </c>
      <c r="C104" s="48" t="s">
        <v>55</v>
      </c>
      <c r="D104" s="62">
        <f>IFERROR(INDEX(Metas!$D$2:$D$104, MATCH(E104,Metas!$E$2:$E$104, 0)), "Não encontrado")</f>
        <v>154</v>
      </c>
      <c r="E104" s="63" t="s">
        <v>111</v>
      </c>
      <c r="F104" s="63" t="s">
        <v>297</v>
      </c>
      <c r="G104" s="62" t="str">
        <f t="shared" ca="1" si="8"/>
        <v>Concluído</v>
      </c>
      <c r="H104" s="83" t="s">
        <v>198</v>
      </c>
      <c r="I104" s="73">
        <v>1</v>
      </c>
      <c r="J104" s="53">
        <f t="shared" si="7"/>
        <v>41.673003802281372</v>
      </c>
      <c r="K104" s="84">
        <v>45749</v>
      </c>
      <c r="L104" s="85">
        <v>46022</v>
      </c>
      <c r="M104" s="68">
        <f t="shared" si="9"/>
        <v>274</v>
      </c>
      <c r="N104" s="69">
        <f>IFERROR(INDEX(Tabela3[ID_Responsavel], MATCH(O104,Tabela3[[Responsáveis ]], 0)), "Não encontrado")</f>
        <v>17</v>
      </c>
      <c r="O104" s="58" t="s">
        <v>112</v>
      </c>
      <c r="P104" s="59" t="s">
        <v>281</v>
      </c>
      <c r="Q104" s="79" t="s">
        <v>302</v>
      </c>
    </row>
    <row r="105" spans="1:17" ht="16.5" hidden="1">
      <c r="A105" s="113">
        <f>IFERROR(INDEX(Tabela2[ID_Area], MATCH(B105,Tabela2[Area], 0)), "Não encontrado")</f>
        <v>1001</v>
      </c>
      <c r="B105" s="47" t="s">
        <v>66</v>
      </c>
      <c r="C105" s="48" t="s">
        <v>55</v>
      </c>
      <c r="D105" s="62">
        <f>IFERROR(INDEX(Metas!$D$2:$D$104, MATCH(E105,Metas!$E$2:$E$104, 0)), "Não encontrado")</f>
        <v>154</v>
      </c>
      <c r="E105" s="63" t="s">
        <v>111</v>
      </c>
      <c r="F105" s="63" t="s">
        <v>299</v>
      </c>
      <c r="G105" s="62" t="str">
        <f t="shared" ca="1" si="8"/>
        <v>Concluído</v>
      </c>
      <c r="H105" s="83" t="s">
        <v>198</v>
      </c>
      <c r="I105" s="73">
        <v>1</v>
      </c>
      <c r="J105" s="53">
        <f t="shared" si="7"/>
        <v>23.117870722433459</v>
      </c>
      <c r="K105" s="84">
        <v>45870</v>
      </c>
      <c r="L105" s="85">
        <v>46021</v>
      </c>
      <c r="M105" s="68">
        <f t="shared" si="9"/>
        <v>152</v>
      </c>
      <c r="N105" s="69">
        <f>IFERROR(INDEX(Tabela3[ID_Responsavel], MATCH(O105,Tabela3[[Responsáveis ]], 0)), "Não encontrado")</f>
        <v>17</v>
      </c>
      <c r="O105" s="58" t="s">
        <v>112</v>
      </c>
      <c r="P105" s="59" t="s">
        <v>281</v>
      </c>
      <c r="Q105" s="79" t="s">
        <v>303</v>
      </c>
    </row>
    <row r="106" spans="1:17" ht="30.75" hidden="1">
      <c r="A106" s="117">
        <f>IFERROR(INDEX(Tabela2[ID_Area], MATCH(B106,Tabela2[Area], 0)), "Não encontrado")</f>
        <v>1001</v>
      </c>
      <c r="B106" s="47" t="s">
        <v>66</v>
      </c>
      <c r="C106" s="48" t="s">
        <v>86</v>
      </c>
      <c r="D106" s="62">
        <f>IFERROR(INDEX(Metas!$D$2:$D$104, MATCH(E106,Metas!$E$2:$E$104, 0)), "Não encontrado")</f>
        <v>155</v>
      </c>
      <c r="E106" s="63" t="s">
        <v>113</v>
      </c>
      <c r="F106" s="63" t="s">
        <v>266</v>
      </c>
      <c r="G106" s="62" t="str">
        <f t="shared" ca="1" si="8"/>
        <v>Concluído</v>
      </c>
      <c r="H106" s="86">
        <v>45742</v>
      </c>
      <c r="I106" s="73">
        <v>1</v>
      </c>
      <c r="J106" s="53">
        <f t="shared" si="7"/>
        <v>28.73239436619718</v>
      </c>
      <c r="K106" s="84">
        <v>45659</v>
      </c>
      <c r="L106" s="85">
        <v>45709</v>
      </c>
      <c r="M106" s="68">
        <f t="shared" si="9"/>
        <v>51</v>
      </c>
      <c r="N106" s="69">
        <f>IFERROR(INDEX(Tabela3[ID_Responsavel], MATCH(O106,Tabela3[[Responsáveis ]], 0)), "Não encontrado")</f>
        <v>17</v>
      </c>
      <c r="O106" s="58" t="s">
        <v>112</v>
      </c>
      <c r="P106" s="59" t="s">
        <v>281</v>
      </c>
      <c r="Q106" s="79" t="s">
        <v>304</v>
      </c>
    </row>
    <row r="107" spans="1:17" ht="30.75" hidden="1">
      <c r="A107" s="113">
        <f>IFERROR(INDEX(Tabela2[ID_Area], MATCH(B107,Tabela2[Area], 0)), "Não encontrado")</f>
        <v>1001</v>
      </c>
      <c r="B107" s="47" t="s">
        <v>66</v>
      </c>
      <c r="C107" s="48" t="s">
        <v>86</v>
      </c>
      <c r="D107" s="62">
        <f>IFERROR(INDEX(Metas!$D$2:$D$104, MATCH(E107,Metas!$E$2:$E$104, 0)), "Não encontrado")</f>
        <v>155</v>
      </c>
      <c r="E107" s="63" t="s">
        <v>113</v>
      </c>
      <c r="F107" s="63" t="s">
        <v>268</v>
      </c>
      <c r="G107" s="62" t="str">
        <f t="shared" ca="1" si="8"/>
        <v>Concluído</v>
      </c>
      <c r="H107" s="86">
        <v>45723</v>
      </c>
      <c r="I107" s="73">
        <v>1</v>
      </c>
      <c r="J107" s="53">
        <f t="shared" si="7"/>
        <v>11.830985915492956</v>
      </c>
      <c r="K107" s="84">
        <v>45709</v>
      </c>
      <c r="L107" s="67">
        <v>45729</v>
      </c>
      <c r="M107" s="68">
        <f t="shared" si="9"/>
        <v>21</v>
      </c>
      <c r="N107" s="69">
        <f>IFERROR(INDEX(Tabela3[ID_Responsavel], MATCH(O107,Tabela3[[Responsáveis ]], 0)), "Não encontrado")</f>
        <v>17</v>
      </c>
      <c r="O107" s="58" t="s">
        <v>112</v>
      </c>
      <c r="P107" s="59" t="s">
        <v>281</v>
      </c>
      <c r="Q107" s="79" t="s">
        <v>305</v>
      </c>
    </row>
    <row r="108" spans="1:17" ht="30.75" hidden="1">
      <c r="A108" s="117">
        <f>IFERROR(INDEX(Tabela2[ID_Area], MATCH(B108,Tabela2[Area], 0)), "Não encontrado")</f>
        <v>1001</v>
      </c>
      <c r="B108" s="47" t="s">
        <v>66</v>
      </c>
      <c r="C108" s="48" t="s">
        <v>86</v>
      </c>
      <c r="D108" s="62">
        <f>IFERROR(INDEX(Metas!$D$2:$D$104, MATCH(E108,Metas!$E$2:$E$104, 0)), "Não encontrado")</f>
        <v>155</v>
      </c>
      <c r="E108" s="63" t="s">
        <v>113</v>
      </c>
      <c r="F108" s="63" t="s">
        <v>270</v>
      </c>
      <c r="G108" s="62" t="str">
        <f t="shared" ca="1" si="8"/>
        <v>Concluído</v>
      </c>
      <c r="H108" s="86">
        <v>45723</v>
      </c>
      <c r="I108" s="73">
        <v>1</v>
      </c>
      <c r="J108" s="53">
        <f t="shared" si="7"/>
        <v>42.816901408450704</v>
      </c>
      <c r="K108" s="66">
        <v>45729</v>
      </c>
      <c r="L108" s="67">
        <v>45804</v>
      </c>
      <c r="M108" s="68">
        <f t="shared" si="9"/>
        <v>76</v>
      </c>
      <c r="N108" s="69">
        <f>IFERROR(INDEX(Tabela3[ID_Responsavel], MATCH(O108,Tabela3[[Responsáveis ]], 0)), "Não encontrado")</f>
        <v>17</v>
      </c>
      <c r="O108" s="58" t="s">
        <v>112</v>
      </c>
      <c r="P108" s="59" t="s">
        <v>281</v>
      </c>
      <c r="Q108" s="79" t="s">
        <v>306</v>
      </c>
    </row>
    <row r="109" spans="1:17" ht="30.75" hidden="1">
      <c r="A109" s="113">
        <f>IFERROR(INDEX(Tabela2[ID_Area], MATCH(B109,Tabela2[Area], 0)), "Não encontrado")</f>
        <v>1001</v>
      </c>
      <c r="B109" s="47" t="s">
        <v>66</v>
      </c>
      <c r="C109" s="48" t="s">
        <v>86</v>
      </c>
      <c r="D109" s="62">
        <f>IFERROR(INDEX(Metas!$D$2:$D$104, MATCH(E109,Metas!$E$2:$E$104, 0)), "Não encontrado")</f>
        <v>155</v>
      </c>
      <c r="E109" s="63" t="s">
        <v>113</v>
      </c>
      <c r="F109" s="63" t="s">
        <v>271</v>
      </c>
      <c r="G109" s="62" t="str">
        <f t="shared" ca="1" si="8"/>
        <v>Concluído</v>
      </c>
      <c r="H109" s="86">
        <v>45856</v>
      </c>
      <c r="I109" s="73">
        <v>1</v>
      </c>
      <c r="J109" s="53">
        <f t="shared" si="7"/>
        <v>36.619718309859159</v>
      </c>
      <c r="K109" s="66">
        <v>45804</v>
      </c>
      <c r="L109" s="67">
        <v>45868</v>
      </c>
      <c r="M109" s="68">
        <f t="shared" si="9"/>
        <v>65</v>
      </c>
      <c r="N109" s="69">
        <f>IFERROR(INDEX(Tabela3[ID_Responsavel], MATCH(O109,Tabela3[[Responsáveis ]], 0)), "Não encontrado")</f>
        <v>17</v>
      </c>
      <c r="O109" s="58" t="s">
        <v>112</v>
      </c>
      <c r="P109" s="59" t="s">
        <v>281</v>
      </c>
      <c r="Q109" s="79" t="s">
        <v>307</v>
      </c>
    </row>
    <row r="110" spans="1:17" ht="16.5" hidden="1">
      <c r="A110" s="117">
        <f>IFERROR(INDEX(Tabela2[ID_Area], MATCH(B110,Tabela2[Area], 0)), "Não encontrado")</f>
        <v>1001</v>
      </c>
      <c r="B110" s="47" t="s">
        <v>66</v>
      </c>
      <c r="C110" s="48" t="s">
        <v>55</v>
      </c>
      <c r="D110" s="62">
        <f>IFERROR(INDEX(Metas!$D$2:$D$104, MATCH(E110,Metas!$E$2:$E$104, 0)), "Não encontrado")</f>
        <v>149</v>
      </c>
      <c r="E110" s="63" t="s">
        <v>104</v>
      </c>
      <c r="F110" s="63" t="s">
        <v>308</v>
      </c>
      <c r="G110" s="62" t="str">
        <f t="shared" ca="1" si="8"/>
        <v>Concluído</v>
      </c>
      <c r="H110" s="86">
        <v>45717</v>
      </c>
      <c r="I110" s="75">
        <v>1</v>
      </c>
      <c r="J110" s="53">
        <f t="shared" si="7"/>
        <v>8.8888888888888893</v>
      </c>
      <c r="K110" s="66">
        <v>45670</v>
      </c>
      <c r="L110" s="67">
        <v>45719</v>
      </c>
      <c r="M110" s="68">
        <f t="shared" si="9"/>
        <v>50</v>
      </c>
      <c r="N110" s="69">
        <f>IFERROR(INDEX(Tabela3[ID_Responsavel], MATCH(O110,Tabela3[[Responsáveis ]], 0)), "Não encontrado")</f>
        <v>23</v>
      </c>
      <c r="O110" s="58" t="s">
        <v>105</v>
      </c>
      <c r="P110" s="59" t="s">
        <v>281</v>
      </c>
      <c r="Q110" s="79" t="s">
        <v>309</v>
      </c>
    </row>
    <row r="111" spans="1:17" ht="16.5" hidden="1">
      <c r="A111" s="113">
        <f>IFERROR(INDEX(Tabela2[ID_Area], MATCH(B111,Tabela2[Area], 0)), "Não encontrado")</f>
        <v>1001</v>
      </c>
      <c r="B111" s="47" t="s">
        <v>66</v>
      </c>
      <c r="C111" s="48" t="s">
        <v>55</v>
      </c>
      <c r="D111" s="62">
        <f>IFERROR(INDEX(Metas!$D$2:$D$104, MATCH(E111,Metas!$E$2:$E$104, 0)), "Não encontrado")</f>
        <v>149</v>
      </c>
      <c r="E111" s="63" t="s">
        <v>104</v>
      </c>
      <c r="F111" s="63" t="s">
        <v>310</v>
      </c>
      <c r="G111" s="62" t="str">
        <f t="shared" ca="1" si="8"/>
        <v>Concluído</v>
      </c>
      <c r="H111" s="86">
        <v>45717</v>
      </c>
      <c r="I111" s="75">
        <v>1</v>
      </c>
      <c r="J111" s="53">
        <f t="shared" si="7"/>
        <v>5.6888888888888882</v>
      </c>
      <c r="K111" s="66">
        <v>45720</v>
      </c>
      <c r="L111" s="67">
        <v>45751</v>
      </c>
      <c r="M111" s="68">
        <f t="shared" si="9"/>
        <v>32</v>
      </c>
      <c r="N111" s="69">
        <f>IFERROR(INDEX(Tabela3[ID_Responsavel], MATCH(O111,Tabela3[[Responsáveis ]], 0)), "Não encontrado")</f>
        <v>23</v>
      </c>
      <c r="O111" s="58" t="s">
        <v>105</v>
      </c>
      <c r="P111" s="59" t="s">
        <v>281</v>
      </c>
      <c r="Q111" s="79" t="s">
        <v>311</v>
      </c>
    </row>
    <row r="112" spans="1:17" ht="16.5" hidden="1">
      <c r="A112" s="117">
        <f>IFERROR(INDEX(Tabela2[ID_Area], MATCH(B112,Tabela2[Area], 0)), "Não encontrado")</f>
        <v>1001</v>
      </c>
      <c r="B112" s="47" t="s">
        <v>66</v>
      </c>
      <c r="C112" s="48" t="s">
        <v>55</v>
      </c>
      <c r="D112" s="62">
        <f>IFERROR(INDEX(Metas!$D$2:$D$104, MATCH(E112,Metas!$E$2:$E$104, 0)), "Não encontrado")</f>
        <v>149</v>
      </c>
      <c r="E112" s="63" t="s">
        <v>104</v>
      </c>
      <c r="F112" s="63" t="s">
        <v>312</v>
      </c>
      <c r="G112" s="62" t="str">
        <f t="shared" ca="1" si="8"/>
        <v>Concluído</v>
      </c>
      <c r="H112" s="83" t="s">
        <v>198</v>
      </c>
      <c r="I112" s="65">
        <v>1</v>
      </c>
      <c r="J112" s="53">
        <f t="shared" si="7"/>
        <v>16.533333333333331</v>
      </c>
      <c r="K112" s="66">
        <v>45752</v>
      </c>
      <c r="L112" s="67">
        <v>45844</v>
      </c>
      <c r="M112" s="68">
        <f t="shared" si="9"/>
        <v>93</v>
      </c>
      <c r="N112" s="69">
        <f>IFERROR(INDEX(Tabela3[ID_Responsavel], MATCH(O112,Tabela3[[Responsáveis ]], 0)), "Não encontrado")</f>
        <v>23</v>
      </c>
      <c r="O112" s="58" t="s">
        <v>105</v>
      </c>
      <c r="P112" s="59" t="s">
        <v>281</v>
      </c>
      <c r="Q112" s="79" t="s">
        <v>198</v>
      </c>
    </row>
    <row r="113" spans="1:17" ht="16.5" hidden="1">
      <c r="A113" s="113">
        <f>IFERROR(INDEX(Tabela2[ID_Area], MATCH(B113,Tabela2[Area], 0)), "Não encontrado")</f>
        <v>1001</v>
      </c>
      <c r="B113" s="47" t="s">
        <v>66</v>
      </c>
      <c r="C113" s="48" t="s">
        <v>55</v>
      </c>
      <c r="D113" s="62">
        <f>IFERROR(INDEX(Metas!$D$2:$D$104, MATCH(E113,Metas!$E$2:$E$104, 0)), "Não encontrado")</f>
        <v>149</v>
      </c>
      <c r="E113" s="63" t="s">
        <v>104</v>
      </c>
      <c r="F113" s="63" t="s">
        <v>313</v>
      </c>
      <c r="G113" s="62" t="str">
        <f t="shared" ca="1" si="8"/>
        <v>Atrasado</v>
      </c>
      <c r="H113" s="83" t="s">
        <v>198</v>
      </c>
      <c r="I113" s="75">
        <v>0</v>
      </c>
      <c r="J113" s="53">
        <f t="shared" si="7"/>
        <v>15.111111111111109</v>
      </c>
      <c r="K113" s="66">
        <v>45845</v>
      </c>
      <c r="L113" s="67">
        <v>45929</v>
      </c>
      <c r="M113" s="68">
        <f t="shared" si="9"/>
        <v>85</v>
      </c>
      <c r="N113" s="69">
        <f>IFERROR(INDEX(Tabela3[ID_Responsavel], MATCH(O113,Tabela3[[Responsáveis ]], 0)), "Não encontrado")</f>
        <v>23</v>
      </c>
      <c r="O113" s="58" t="s">
        <v>105</v>
      </c>
      <c r="P113" s="59" t="s">
        <v>281</v>
      </c>
      <c r="Q113" s="79" t="s">
        <v>314</v>
      </c>
    </row>
    <row r="114" spans="1:17" ht="16.5" hidden="1">
      <c r="A114" s="117">
        <f>IFERROR(INDEX(Tabela2[ID_Area], MATCH(B114,Tabela2[Area], 0)), "Não encontrado")</f>
        <v>1001</v>
      </c>
      <c r="B114" s="47" t="s">
        <v>66</v>
      </c>
      <c r="C114" s="48" t="s">
        <v>55</v>
      </c>
      <c r="D114" s="62">
        <f>IFERROR(INDEX(Metas!$D$2:$D$104, MATCH(E114,Metas!$E$2:$E$104, 0)), "Não encontrado")</f>
        <v>150</v>
      </c>
      <c r="E114" s="63" t="s">
        <v>106</v>
      </c>
      <c r="F114" s="63" t="s">
        <v>315</v>
      </c>
      <c r="G114" s="62" t="str">
        <f t="shared" ca="1" si="8"/>
        <v>Concluído</v>
      </c>
      <c r="H114" s="83" t="s">
        <v>198</v>
      </c>
      <c r="I114" s="75">
        <v>1</v>
      </c>
      <c r="J114" s="53">
        <f t="shared" si="7"/>
        <v>32.317327766179545</v>
      </c>
      <c r="K114" s="66">
        <v>45659</v>
      </c>
      <c r="L114" s="67">
        <v>45787</v>
      </c>
      <c r="M114" s="68">
        <f t="shared" si="9"/>
        <v>129</v>
      </c>
      <c r="N114" s="69">
        <f>IFERROR(INDEX(Tabela3[ID_Responsavel], MATCH(O114,Tabela3[[Responsáveis ]], 0)), "Não encontrado")</f>
        <v>23</v>
      </c>
      <c r="O114" s="58" t="s">
        <v>105</v>
      </c>
      <c r="P114" s="59" t="s">
        <v>281</v>
      </c>
      <c r="Q114" s="79" t="s">
        <v>316</v>
      </c>
    </row>
    <row r="115" spans="1:17" ht="16.5" hidden="1">
      <c r="A115" s="113">
        <f>IFERROR(INDEX(Tabela2[ID_Area], MATCH(B115,Tabela2[Area], 0)), "Não encontrado")</f>
        <v>1001</v>
      </c>
      <c r="B115" s="47" t="s">
        <v>66</v>
      </c>
      <c r="C115" s="48" t="s">
        <v>55</v>
      </c>
      <c r="D115" s="62">
        <f>IFERROR(INDEX(Metas!$D$2:$D$104, MATCH(E115,Metas!$E$2:$E$104, 0)), "Não encontrado")</f>
        <v>150</v>
      </c>
      <c r="E115" s="63" t="s">
        <v>106</v>
      </c>
      <c r="F115" s="63" t="s">
        <v>317</v>
      </c>
      <c r="G115" s="62" t="str">
        <f t="shared" ca="1" si="8"/>
        <v>Concluído</v>
      </c>
      <c r="H115" s="83" t="s">
        <v>198</v>
      </c>
      <c r="I115" s="65">
        <v>1</v>
      </c>
      <c r="J115" s="53">
        <f t="shared" si="7"/>
        <v>10.521920668058456</v>
      </c>
      <c r="K115" s="66">
        <v>45787</v>
      </c>
      <c r="L115" s="67">
        <v>45828</v>
      </c>
      <c r="M115" s="68">
        <f t="shared" si="9"/>
        <v>42</v>
      </c>
      <c r="N115" s="69">
        <f>IFERROR(INDEX(Tabela3[ID_Responsavel], MATCH(O115,Tabela3[[Responsáveis ]], 0)), "Não encontrado")</f>
        <v>23</v>
      </c>
      <c r="O115" s="58" t="s">
        <v>105</v>
      </c>
      <c r="P115" s="59" t="s">
        <v>281</v>
      </c>
      <c r="Q115" s="79" t="s">
        <v>198</v>
      </c>
    </row>
    <row r="116" spans="1:17" ht="16.5" hidden="1">
      <c r="A116" s="117">
        <f>IFERROR(INDEX(Tabela2[ID_Area], MATCH(B116,Tabela2[Area], 0)), "Não encontrado")</f>
        <v>1001</v>
      </c>
      <c r="B116" s="47" t="s">
        <v>66</v>
      </c>
      <c r="C116" s="48" t="s">
        <v>55</v>
      </c>
      <c r="D116" s="62">
        <f>IFERROR(INDEX(Metas!$D$2:$D$104, MATCH(E116,Metas!$E$2:$E$104, 0)), "Não encontrado")</f>
        <v>150</v>
      </c>
      <c r="E116" s="63" t="s">
        <v>106</v>
      </c>
      <c r="F116" s="63" t="s">
        <v>318</v>
      </c>
      <c r="G116" s="62" t="str">
        <f t="shared" ca="1" si="8"/>
        <v>Atrasado</v>
      </c>
      <c r="H116" s="83" t="s">
        <v>198</v>
      </c>
      <c r="I116" s="65">
        <v>0</v>
      </c>
      <c r="J116" s="53">
        <f t="shared" si="7"/>
        <v>43.590814196242171</v>
      </c>
      <c r="K116" s="66">
        <v>45828</v>
      </c>
      <c r="L116" s="67">
        <v>46001</v>
      </c>
      <c r="M116" s="68">
        <f t="shared" si="9"/>
        <v>174</v>
      </c>
      <c r="N116" s="69">
        <f>IFERROR(INDEX(Tabela3[ID_Responsavel], MATCH(O116,Tabela3[[Responsáveis ]], 0)), "Não encontrado")</f>
        <v>23</v>
      </c>
      <c r="O116" s="58" t="s">
        <v>105</v>
      </c>
      <c r="P116" s="59" t="s">
        <v>281</v>
      </c>
      <c r="Q116" s="79" t="s">
        <v>198</v>
      </c>
    </row>
    <row r="117" spans="1:17" ht="16.5" hidden="1">
      <c r="A117" s="113">
        <f>IFERROR(INDEX(Tabela2[ID_Area], MATCH(B117,Tabela2[Area], 0)), "Não encontrado")</f>
        <v>1001</v>
      </c>
      <c r="B117" s="47" t="s">
        <v>66</v>
      </c>
      <c r="C117" s="48" t="s">
        <v>55</v>
      </c>
      <c r="D117" s="62">
        <f>IFERROR(INDEX(Metas!$D$2:$D$104, MATCH(E117,Metas!$E$2:$E$104, 0)), "Não encontrado")</f>
        <v>150</v>
      </c>
      <c r="E117" s="63" t="s">
        <v>106</v>
      </c>
      <c r="F117" s="63" t="s">
        <v>319</v>
      </c>
      <c r="G117" s="62" t="str">
        <f t="shared" ca="1" si="8"/>
        <v>Atrasado</v>
      </c>
      <c r="H117" s="83" t="s">
        <v>198</v>
      </c>
      <c r="I117" s="65">
        <v>0</v>
      </c>
      <c r="J117" s="53">
        <f t="shared" si="7"/>
        <v>24.551148225469728</v>
      </c>
      <c r="K117" s="66">
        <v>45879</v>
      </c>
      <c r="L117" s="67">
        <v>45976</v>
      </c>
      <c r="M117" s="68">
        <f t="shared" si="9"/>
        <v>98</v>
      </c>
      <c r="N117" s="69">
        <f>IFERROR(INDEX(Tabela3[ID_Responsavel], MATCH(O117,Tabela3[[Responsáveis ]], 0)), "Não encontrado")</f>
        <v>23</v>
      </c>
      <c r="O117" s="58" t="s">
        <v>105</v>
      </c>
      <c r="P117" s="59" t="s">
        <v>281</v>
      </c>
      <c r="Q117" s="79" t="s">
        <v>198</v>
      </c>
    </row>
    <row r="118" spans="1:17" ht="16.5" hidden="1">
      <c r="A118" s="117">
        <f>IFERROR(INDEX(Tabela2[ID_Area], MATCH(B118,Tabela2[Area], 0)), "Não encontrado")</f>
        <v>1001</v>
      </c>
      <c r="B118" s="47" t="s">
        <v>66</v>
      </c>
      <c r="C118" s="48" t="s">
        <v>55</v>
      </c>
      <c r="D118" s="62">
        <f>IFERROR(INDEX(Metas!$D$2:$D$104, MATCH(E118,Metas!$E$2:$E$104, 0)), "Não encontrado")</f>
        <v>150</v>
      </c>
      <c r="E118" s="63" t="s">
        <v>106</v>
      </c>
      <c r="F118" s="63" t="s">
        <v>320</v>
      </c>
      <c r="G118" s="62" t="str">
        <f t="shared" ca="1" si="8"/>
        <v>Atrasado</v>
      </c>
      <c r="H118" s="83" t="s">
        <v>198</v>
      </c>
      <c r="I118" s="65">
        <v>0</v>
      </c>
      <c r="J118" s="53">
        <f t="shared" si="7"/>
        <v>9.0187891440501033</v>
      </c>
      <c r="K118" s="66">
        <v>45976</v>
      </c>
      <c r="L118" s="67">
        <v>46011</v>
      </c>
      <c r="M118" s="68">
        <f t="shared" si="9"/>
        <v>36</v>
      </c>
      <c r="N118" s="69">
        <f>IFERROR(INDEX(Tabela3[ID_Responsavel], MATCH(O118,Tabela3[[Responsáveis ]], 0)), "Não encontrado")</f>
        <v>23</v>
      </c>
      <c r="O118" s="58" t="s">
        <v>105</v>
      </c>
      <c r="P118" s="59" t="s">
        <v>281</v>
      </c>
      <c r="Q118" s="79" t="s">
        <v>198</v>
      </c>
    </row>
    <row r="119" spans="1:17" ht="16.5" hidden="1">
      <c r="A119" s="113">
        <f>IFERROR(INDEX(Tabela2[ID_Area], MATCH(B119,Tabela2[Area], 0)), "Não encontrado")</f>
        <v>1001</v>
      </c>
      <c r="B119" s="47" t="s">
        <v>66</v>
      </c>
      <c r="C119" s="48" t="s">
        <v>55</v>
      </c>
      <c r="D119" s="62">
        <f>IFERROR(INDEX(Metas!$D$2:$D$104, MATCH(E119,Metas!$E$2:$E$104, 0)), "Não encontrado")</f>
        <v>149</v>
      </c>
      <c r="E119" s="63" t="s">
        <v>104</v>
      </c>
      <c r="F119" s="63" t="s">
        <v>310</v>
      </c>
      <c r="G119" s="62" t="str">
        <f t="shared" ca="1" si="8"/>
        <v>Concluído</v>
      </c>
      <c r="H119" s="86">
        <v>45717</v>
      </c>
      <c r="I119" s="65">
        <v>1</v>
      </c>
      <c r="J119" s="53">
        <f t="shared" si="7"/>
        <v>5.6888888888888882</v>
      </c>
      <c r="K119" s="66">
        <v>45720</v>
      </c>
      <c r="L119" s="67">
        <v>45751</v>
      </c>
      <c r="M119" s="68">
        <f t="shared" si="9"/>
        <v>32</v>
      </c>
      <c r="N119" s="69">
        <f>IFERROR(INDEX(Tabela3[ID_Responsavel], MATCH(O119,Tabela3[[Responsáveis ]], 0)), "Não encontrado")</f>
        <v>23</v>
      </c>
      <c r="O119" s="58" t="s">
        <v>105</v>
      </c>
      <c r="P119" s="59" t="s">
        <v>281</v>
      </c>
      <c r="Q119" s="79" t="s">
        <v>198</v>
      </c>
    </row>
    <row r="120" spans="1:17" ht="16.5" hidden="1">
      <c r="A120" s="117">
        <f>IFERROR(INDEX(Tabela2[ID_Area], MATCH(B120,Tabela2[Area], 0)), "Não encontrado")</f>
        <v>1001</v>
      </c>
      <c r="B120" s="47" t="s">
        <v>66</v>
      </c>
      <c r="C120" s="48" t="s">
        <v>55</v>
      </c>
      <c r="D120" s="62">
        <f>IFERROR(INDEX(Metas!$D$2:$D$104, MATCH(E120,Metas!$E$2:$E$104, 0)), "Não encontrado")</f>
        <v>149</v>
      </c>
      <c r="E120" s="63" t="s">
        <v>104</v>
      </c>
      <c r="F120" s="63" t="s">
        <v>312</v>
      </c>
      <c r="G120" s="62" t="str">
        <f t="shared" ca="1" si="8"/>
        <v>Atrasado</v>
      </c>
      <c r="H120" s="83" t="s">
        <v>198</v>
      </c>
      <c r="I120" s="65">
        <v>0</v>
      </c>
      <c r="J120" s="53">
        <f t="shared" si="7"/>
        <v>43.733333333333334</v>
      </c>
      <c r="K120" s="66">
        <v>45752</v>
      </c>
      <c r="L120" s="67">
        <v>45997</v>
      </c>
      <c r="M120" s="68">
        <f t="shared" si="9"/>
        <v>246</v>
      </c>
      <c r="N120" s="69">
        <f>IFERROR(INDEX(Tabela3[ID_Responsavel], MATCH(O120,Tabela3[[Responsáveis ]], 0)), "Não encontrado")</f>
        <v>23</v>
      </c>
      <c r="O120" s="58" t="s">
        <v>105</v>
      </c>
      <c r="P120" s="59" t="s">
        <v>281</v>
      </c>
      <c r="Q120" s="79" t="s">
        <v>198</v>
      </c>
    </row>
    <row r="121" spans="1:17" ht="16.5" hidden="1">
      <c r="A121" s="113">
        <f>IFERROR(INDEX(Tabela2[ID_Area], MATCH(B121,Tabela2[Area], 0)), "Não encontrado")</f>
        <v>1001</v>
      </c>
      <c r="B121" s="47" t="s">
        <v>66</v>
      </c>
      <c r="C121" s="48" t="s">
        <v>55</v>
      </c>
      <c r="D121" s="62">
        <f>IFERROR(INDEX(Metas!$D$2:$D$104, MATCH(E121,Metas!$E$2:$E$104, 0)), "Não encontrado")</f>
        <v>149</v>
      </c>
      <c r="E121" s="63" t="s">
        <v>104</v>
      </c>
      <c r="F121" s="63" t="s">
        <v>313</v>
      </c>
      <c r="G121" s="62" t="str">
        <f t="shared" ca="1" si="8"/>
        <v>Atrasado</v>
      </c>
      <c r="H121" s="83" t="s">
        <v>198</v>
      </c>
      <c r="I121" s="65">
        <v>0</v>
      </c>
      <c r="J121" s="53">
        <f t="shared" si="7"/>
        <v>24.355555555555554</v>
      </c>
      <c r="K121" s="66">
        <v>45845</v>
      </c>
      <c r="L121" s="67">
        <v>45981</v>
      </c>
      <c r="M121" s="68">
        <f t="shared" si="9"/>
        <v>137</v>
      </c>
      <c r="N121" s="69">
        <f>IFERROR(INDEX(Tabela3[ID_Responsavel], MATCH(O121,Tabela3[[Responsáveis ]], 0)), "Não encontrado")</f>
        <v>23</v>
      </c>
      <c r="O121" s="58" t="s">
        <v>105</v>
      </c>
      <c r="P121" s="59" t="s">
        <v>281</v>
      </c>
      <c r="Q121" s="79" t="s">
        <v>198</v>
      </c>
    </row>
    <row r="122" spans="1:17" ht="16.5" hidden="1">
      <c r="A122" s="117">
        <f>IFERROR(INDEX(Tabela2[ID_Area], MATCH(B122,Tabela2[Area], 0)), "Não encontrado")</f>
        <v>1002</v>
      </c>
      <c r="B122" s="47" t="s">
        <v>79</v>
      </c>
      <c r="C122" s="48" t="s">
        <v>55</v>
      </c>
      <c r="D122" s="62">
        <f>IFERROR(INDEX(Metas!$D$2:$D$104, MATCH(E122,Metas!$E$2:$E$104, 0)), "Não encontrado")</f>
        <v>133</v>
      </c>
      <c r="E122" s="63" t="s">
        <v>76</v>
      </c>
      <c r="F122" s="63" t="s">
        <v>321</v>
      </c>
      <c r="G122" s="62" t="str">
        <f t="shared" ca="1" si="8"/>
        <v>Concluído</v>
      </c>
      <c r="H122" s="86">
        <v>45674</v>
      </c>
      <c r="I122" s="73">
        <v>1</v>
      </c>
      <c r="J122" s="53">
        <f t="shared" si="7"/>
        <v>1.4311926605504588</v>
      </c>
      <c r="K122" s="84">
        <v>45660</v>
      </c>
      <c r="L122" s="85">
        <v>45672</v>
      </c>
      <c r="M122" s="68">
        <f t="shared" si="9"/>
        <v>13</v>
      </c>
      <c r="N122" s="69">
        <f>IFERROR(INDEX(Tabela3[ID_Responsavel], MATCH(O122,Tabela3[[Responsáveis ]], 0)), "Não encontrado")</f>
        <v>13</v>
      </c>
      <c r="O122" s="58" t="s">
        <v>77</v>
      </c>
      <c r="P122" s="59" t="s">
        <v>31</v>
      </c>
      <c r="Q122" s="79" t="s">
        <v>322</v>
      </c>
    </row>
    <row r="123" spans="1:17" ht="16.5" hidden="1">
      <c r="A123" s="113">
        <f>IFERROR(INDEX(Tabela2[ID_Area], MATCH(B123,Tabela2[Area], 0)), "Não encontrado")</f>
        <v>1002</v>
      </c>
      <c r="B123" s="47" t="s">
        <v>79</v>
      </c>
      <c r="C123" s="48" t="s">
        <v>55</v>
      </c>
      <c r="D123" s="62">
        <f>IFERROR(INDEX(Metas!$D$2:$D$104, MATCH(E123,Metas!$E$2:$E$104, 0)), "Não encontrado")</f>
        <v>133</v>
      </c>
      <c r="E123" s="63" t="s">
        <v>76</v>
      </c>
      <c r="F123" s="63" t="s">
        <v>323</v>
      </c>
      <c r="G123" s="62" t="str">
        <f t="shared" ca="1" si="8"/>
        <v>Concluído</v>
      </c>
      <c r="H123" s="86">
        <v>45688</v>
      </c>
      <c r="I123" s="73">
        <v>1</v>
      </c>
      <c r="J123" s="53">
        <f t="shared" si="7"/>
        <v>3.0825688073394497</v>
      </c>
      <c r="K123" s="84">
        <v>45660</v>
      </c>
      <c r="L123" s="85">
        <v>45687</v>
      </c>
      <c r="M123" s="68">
        <f t="shared" si="9"/>
        <v>28</v>
      </c>
      <c r="N123" s="69">
        <f>IFERROR(INDEX(Tabela3[ID_Responsavel], MATCH(O123,Tabela3[[Responsáveis ]], 0)), "Não encontrado")</f>
        <v>13</v>
      </c>
      <c r="O123" s="58" t="s">
        <v>77</v>
      </c>
      <c r="P123" s="59" t="s">
        <v>31</v>
      </c>
      <c r="Q123" s="79" t="s">
        <v>324</v>
      </c>
    </row>
    <row r="124" spans="1:17" ht="16.5" hidden="1">
      <c r="A124" s="117">
        <f>IFERROR(INDEX(Tabela2[ID_Area], MATCH(B124,Tabela2[Area], 0)), "Não encontrado")</f>
        <v>1002</v>
      </c>
      <c r="B124" s="47" t="s">
        <v>79</v>
      </c>
      <c r="C124" s="48" t="s">
        <v>55</v>
      </c>
      <c r="D124" s="62">
        <f>IFERROR(INDEX(Metas!$D$2:$D$104, MATCH(E124,Metas!$E$2:$E$104, 0)), "Não encontrado")</f>
        <v>133</v>
      </c>
      <c r="E124" s="63" t="s">
        <v>76</v>
      </c>
      <c r="F124" s="63" t="s">
        <v>310</v>
      </c>
      <c r="G124" s="62" t="str">
        <f t="shared" ca="1" si="8"/>
        <v>Concluído</v>
      </c>
      <c r="H124" s="86">
        <v>45717</v>
      </c>
      <c r="I124" s="73">
        <v>1</v>
      </c>
      <c r="J124" s="53">
        <f t="shared" si="7"/>
        <v>2.3119266055045875</v>
      </c>
      <c r="K124" s="84">
        <v>45667</v>
      </c>
      <c r="L124" s="85">
        <v>45687</v>
      </c>
      <c r="M124" s="68">
        <f t="shared" si="9"/>
        <v>21</v>
      </c>
      <c r="N124" s="69">
        <f>IFERROR(INDEX(Tabela3[ID_Responsavel], MATCH(O124,Tabela3[[Responsáveis ]], 0)), "Não encontrado")</f>
        <v>13</v>
      </c>
      <c r="O124" s="58" t="s">
        <v>77</v>
      </c>
      <c r="P124" s="59" t="s">
        <v>31</v>
      </c>
      <c r="Q124" s="79" t="s">
        <v>325</v>
      </c>
    </row>
    <row r="125" spans="1:17" ht="16.5" hidden="1">
      <c r="A125" s="113">
        <f>IFERROR(INDEX(Tabela2[ID_Area], MATCH(B125,Tabela2[Area], 0)), "Não encontrado")</f>
        <v>1002</v>
      </c>
      <c r="B125" s="47" t="s">
        <v>79</v>
      </c>
      <c r="C125" s="48" t="s">
        <v>55</v>
      </c>
      <c r="D125" s="62">
        <f>IFERROR(INDEX(Metas!$D$2:$D$104, MATCH(E125,Metas!$E$2:$E$104, 0)), "Não encontrado")</f>
        <v>133</v>
      </c>
      <c r="E125" s="63" t="s">
        <v>76</v>
      </c>
      <c r="F125" s="63" t="s">
        <v>326</v>
      </c>
      <c r="G125" s="62" t="str">
        <f t="shared" ca="1" si="8"/>
        <v>Atrasado</v>
      </c>
      <c r="H125" s="83" t="s">
        <v>198</v>
      </c>
      <c r="I125" s="73">
        <v>0</v>
      </c>
      <c r="J125" s="53">
        <f t="shared" si="7"/>
        <v>23.449541284403672</v>
      </c>
      <c r="K125" s="84">
        <v>45749</v>
      </c>
      <c r="L125" s="85">
        <v>45961</v>
      </c>
      <c r="M125" s="68">
        <f t="shared" si="9"/>
        <v>213</v>
      </c>
      <c r="N125" s="69">
        <f>IFERROR(INDEX(Tabela3[ID_Responsavel], MATCH(O125,Tabela3[[Responsáveis ]], 0)), "Não encontrado")</f>
        <v>13</v>
      </c>
      <c r="O125" s="58" t="s">
        <v>77</v>
      </c>
      <c r="P125" s="59" t="s">
        <v>31</v>
      </c>
      <c r="Q125" s="79" t="s">
        <v>327</v>
      </c>
    </row>
    <row r="126" spans="1:17" ht="16.5" hidden="1">
      <c r="A126" s="117">
        <f>IFERROR(INDEX(Tabela2[ID_Area], MATCH(B126,Tabela2[Area], 0)), "Não encontrado")</f>
        <v>1002</v>
      </c>
      <c r="B126" s="47" t="s">
        <v>79</v>
      </c>
      <c r="C126" s="48" t="s">
        <v>55</v>
      </c>
      <c r="D126" s="62">
        <f>IFERROR(INDEX(Metas!$D$2:$D$104, MATCH(E126,Metas!$E$2:$E$104, 0)), "Não encontrado")</f>
        <v>133</v>
      </c>
      <c r="E126" s="63" t="s">
        <v>76</v>
      </c>
      <c r="F126" s="63" t="s">
        <v>328</v>
      </c>
      <c r="G126" s="62" t="str">
        <f t="shared" ca="1" si="8"/>
        <v>Atrasado</v>
      </c>
      <c r="H126" s="83" t="s">
        <v>198</v>
      </c>
      <c r="I126" s="73">
        <v>0</v>
      </c>
      <c r="J126" s="53">
        <f t="shared" si="7"/>
        <v>26.86238532110092</v>
      </c>
      <c r="K126" s="84">
        <v>45779</v>
      </c>
      <c r="L126" s="85">
        <v>46022</v>
      </c>
      <c r="M126" s="68">
        <f t="shared" si="9"/>
        <v>244</v>
      </c>
      <c r="N126" s="69">
        <f>IFERROR(INDEX(Tabela3[ID_Responsavel], MATCH(O126,Tabela3[[Responsáveis ]], 0)), "Não encontrado")</f>
        <v>13</v>
      </c>
      <c r="O126" s="58" t="s">
        <v>77</v>
      </c>
      <c r="P126" s="59" t="s">
        <v>31</v>
      </c>
      <c r="Q126" s="79" t="s">
        <v>327</v>
      </c>
    </row>
    <row r="127" spans="1:17" ht="16.5" hidden="1">
      <c r="A127" s="113">
        <f>IFERROR(INDEX(Tabela2[ID_Area], MATCH(B127,Tabela2[Area], 0)), "Não encontrado")</f>
        <v>1002</v>
      </c>
      <c r="B127" s="47" t="s">
        <v>79</v>
      </c>
      <c r="C127" s="48" t="s">
        <v>55</v>
      </c>
      <c r="D127" s="62">
        <f>IFERROR(INDEX(Metas!$D$2:$D$104, MATCH(E127,Metas!$E$2:$E$104, 0)), "Não encontrado")</f>
        <v>133</v>
      </c>
      <c r="E127" s="63" t="s">
        <v>76</v>
      </c>
      <c r="F127" s="63" t="s">
        <v>329</v>
      </c>
      <c r="G127" s="62" t="str">
        <f t="shared" ca="1" si="8"/>
        <v>Atrasado</v>
      </c>
      <c r="H127" s="83" t="s">
        <v>198</v>
      </c>
      <c r="I127" s="73">
        <v>0</v>
      </c>
      <c r="J127" s="53">
        <f t="shared" si="7"/>
        <v>23.449541284403672</v>
      </c>
      <c r="K127" s="84">
        <v>45810</v>
      </c>
      <c r="L127" s="85">
        <v>46022</v>
      </c>
      <c r="M127" s="68">
        <f t="shared" si="9"/>
        <v>213</v>
      </c>
      <c r="N127" s="69">
        <f>IFERROR(INDEX(Tabela3[ID_Responsavel], MATCH(O127,Tabela3[[Responsáveis ]], 0)), "Não encontrado")</f>
        <v>13</v>
      </c>
      <c r="O127" s="58" t="s">
        <v>77</v>
      </c>
      <c r="P127" s="59" t="s">
        <v>31</v>
      </c>
      <c r="Q127" s="79" t="s">
        <v>327</v>
      </c>
    </row>
    <row r="128" spans="1:17" ht="16.5" hidden="1">
      <c r="A128" s="117">
        <f>IFERROR(INDEX(Tabela2[ID_Area], MATCH(B128,Tabela2[Area], 0)), "Não encontrado")</f>
        <v>1002</v>
      </c>
      <c r="B128" s="47" t="s">
        <v>79</v>
      </c>
      <c r="C128" s="48" t="s">
        <v>55</v>
      </c>
      <c r="D128" s="62">
        <f>IFERROR(INDEX(Metas!$D$2:$D$104, MATCH(E128,Metas!$E$2:$E$104, 0)), "Não encontrado")</f>
        <v>133</v>
      </c>
      <c r="E128" s="63" t="s">
        <v>76</v>
      </c>
      <c r="F128" s="63" t="s">
        <v>330</v>
      </c>
      <c r="G128" s="62" t="str">
        <f t="shared" ca="1" si="8"/>
        <v>Atrasado</v>
      </c>
      <c r="H128" s="83" t="s">
        <v>198</v>
      </c>
      <c r="I128" s="73">
        <v>0</v>
      </c>
      <c r="J128" s="53">
        <f t="shared" si="7"/>
        <v>16.73394495412844</v>
      </c>
      <c r="K128" s="84">
        <v>45871</v>
      </c>
      <c r="L128" s="85">
        <v>46022</v>
      </c>
      <c r="M128" s="68">
        <f t="shared" si="9"/>
        <v>152</v>
      </c>
      <c r="N128" s="69">
        <f>IFERROR(INDEX(Tabela3[ID_Responsavel], MATCH(O128,Tabela3[[Responsáveis ]], 0)), "Não encontrado")</f>
        <v>13</v>
      </c>
      <c r="O128" s="58" t="s">
        <v>77</v>
      </c>
      <c r="P128" s="59" t="s">
        <v>31</v>
      </c>
      <c r="Q128" s="79" t="s">
        <v>327</v>
      </c>
    </row>
    <row r="129" spans="1:17" ht="16.5" hidden="1">
      <c r="A129" s="113">
        <f>IFERROR(INDEX(Tabela2[ID_Area], MATCH(B129,Tabela2[Area], 0)), "Não encontrado")</f>
        <v>1002</v>
      </c>
      <c r="B129" s="47" t="s">
        <v>79</v>
      </c>
      <c r="C129" s="48" t="s">
        <v>55</v>
      </c>
      <c r="D129" s="62">
        <f>IFERROR(INDEX(Metas!$D$2:$D$104, MATCH(E129,Metas!$E$2:$E$104, 0)), "Não encontrado")</f>
        <v>133</v>
      </c>
      <c r="E129" s="63" t="s">
        <v>76</v>
      </c>
      <c r="F129" s="63" t="s">
        <v>331</v>
      </c>
      <c r="G129" s="62" t="str">
        <f t="shared" ca="1" si="8"/>
        <v>Atrasado</v>
      </c>
      <c r="H129" s="83" t="s">
        <v>198</v>
      </c>
      <c r="I129" s="73">
        <v>0</v>
      </c>
      <c r="J129" s="53">
        <f t="shared" si="7"/>
        <v>11.339449541284404</v>
      </c>
      <c r="K129" s="84">
        <v>45920</v>
      </c>
      <c r="L129" s="85">
        <v>46022</v>
      </c>
      <c r="M129" s="68">
        <f t="shared" si="9"/>
        <v>103</v>
      </c>
      <c r="N129" s="69">
        <f>IFERROR(INDEX(Tabela3[ID_Responsavel], MATCH(O129,Tabela3[[Responsáveis ]], 0)), "Não encontrado")</f>
        <v>13</v>
      </c>
      <c r="O129" s="58" t="s">
        <v>77</v>
      </c>
      <c r="P129" s="59" t="s">
        <v>31</v>
      </c>
      <c r="Q129" s="79" t="s">
        <v>327</v>
      </c>
    </row>
    <row r="130" spans="1:17" ht="16.5" hidden="1">
      <c r="A130" s="117">
        <f>IFERROR(INDEX(Tabela2[ID_Area], MATCH(B130,Tabela2[Area], 0)), "Não encontrado")</f>
        <v>1002</v>
      </c>
      <c r="B130" s="47" t="s">
        <v>79</v>
      </c>
      <c r="C130" s="48" t="s">
        <v>55</v>
      </c>
      <c r="D130" s="62">
        <f>IFERROR(INDEX(Metas!$D$2:$D$104, MATCH(E130,Metas!$E$2:$E$104, 0)), "Não encontrado")</f>
        <v>133</v>
      </c>
      <c r="E130" s="63" t="s">
        <v>76</v>
      </c>
      <c r="F130" s="63" t="s">
        <v>332</v>
      </c>
      <c r="G130" s="62" t="str">
        <f t="shared" ca="1" si="8"/>
        <v>Concluído</v>
      </c>
      <c r="H130" s="86">
        <v>45925</v>
      </c>
      <c r="I130" s="73">
        <v>1</v>
      </c>
      <c r="J130" s="53">
        <f t="shared" ref="J130:J193" si="10">IFERROR( M130 / SUMIFS($M:$M, $E:$E, $E130, $O:$O, $O130) * 120, 0 )</f>
        <v>11.339449541284404</v>
      </c>
      <c r="K130" s="84">
        <v>45920</v>
      </c>
      <c r="L130" s="85">
        <v>46022</v>
      </c>
      <c r="M130" s="68">
        <f t="shared" si="9"/>
        <v>103</v>
      </c>
      <c r="N130" s="69">
        <f>IFERROR(INDEX(Tabela3[ID_Responsavel], MATCH(O130,Tabela3[[Responsáveis ]], 0)), "Não encontrado")</f>
        <v>13</v>
      </c>
      <c r="O130" s="58" t="s">
        <v>77</v>
      </c>
      <c r="P130" s="59" t="s">
        <v>31</v>
      </c>
      <c r="Q130" s="79" t="s">
        <v>333</v>
      </c>
    </row>
    <row r="131" spans="1:17" ht="16.5" hidden="1">
      <c r="A131" s="113">
        <f>IFERROR(INDEX(Tabela2[ID_Area], MATCH(B131,Tabela2[Area], 0)), "Não encontrado")</f>
        <v>1002</v>
      </c>
      <c r="B131" s="47" t="s">
        <v>79</v>
      </c>
      <c r="C131" s="48" t="s">
        <v>71</v>
      </c>
      <c r="D131" s="62">
        <f>IFERROR(INDEX(Metas!$D$2:$D$104, MATCH(E131,Metas!$E$2:$E$104, 0)), "Não encontrado")</f>
        <v>134</v>
      </c>
      <c r="E131" s="63" t="s">
        <v>80</v>
      </c>
      <c r="F131" s="63" t="s">
        <v>334</v>
      </c>
      <c r="G131" s="62" t="str">
        <f t="shared" ca="1" si="8"/>
        <v>Concluído</v>
      </c>
      <c r="H131" s="86">
        <v>45717</v>
      </c>
      <c r="I131" s="73">
        <v>1</v>
      </c>
      <c r="J131" s="53">
        <f t="shared" si="10"/>
        <v>4.8148148148148149</v>
      </c>
      <c r="K131" s="84">
        <v>45691</v>
      </c>
      <c r="L131" s="85">
        <v>45703</v>
      </c>
      <c r="M131" s="68">
        <f t="shared" si="9"/>
        <v>13</v>
      </c>
      <c r="N131" s="69">
        <f>IFERROR(INDEX(Tabela3[ID_Responsavel], MATCH(O131,Tabela3[[Responsáveis ]], 0)), "Não encontrado")</f>
        <v>13</v>
      </c>
      <c r="O131" s="58" t="s">
        <v>77</v>
      </c>
      <c r="P131" s="59" t="s">
        <v>31</v>
      </c>
      <c r="Q131" s="79" t="s">
        <v>335</v>
      </c>
    </row>
    <row r="132" spans="1:17" ht="16.5" hidden="1">
      <c r="A132" s="117">
        <f>IFERROR(INDEX(Tabela2[ID_Area], MATCH(B132,Tabela2[Area], 0)), "Não encontrado")</f>
        <v>1002</v>
      </c>
      <c r="B132" s="47" t="s">
        <v>79</v>
      </c>
      <c r="C132" s="48" t="s">
        <v>71</v>
      </c>
      <c r="D132" s="62">
        <f>IFERROR(INDEX(Metas!$D$2:$D$104, MATCH(E132,Metas!$E$2:$E$104, 0)), "Não encontrado")</f>
        <v>134</v>
      </c>
      <c r="E132" s="63" t="s">
        <v>80</v>
      </c>
      <c r="F132" s="63" t="s">
        <v>336</v>
      </c>
      <c r="G132" s="62" t="str">
        <f t="shared" ca="1" si="8"/>
        <v>Concluído</v>
      </c>
      <c r="H132" s="192">
        <v>45731</v>
      </c>
      <c r="I132" s="73">
        <v>1</v>
      </c>
      <c r="J132" s="53">
        <f t="shared" si="10"/>
        <v>28.518518518518519</v>
      </c>
      <c r="K132" s="84">
        <v>45660</v>
      </c>
      <c r="L132" s="85">
        <v>45736</v>
      </c>
      <c r="M132" s="68">
        <f t="shared" si="9"/>
        <v>77</v>
      </c>
      <c r="N132" s="69">
        <f>IFERROR(INDEX(Tabela3[ID_Responsavel], MATCH(O132,Tabela3[[Responsáveis ]], 0)), "Não encontrado")</f>
        <v>13</v>
      </c>
      <c r="O132" s="58" t="s">
        <v>77</v>
      </c>
      <c r="P132" s="59" t="s">
        <v>31</v>
      </c>
      <c r="Q132" s="81" t="s">
        <v>337</v>
      </c>
    </row>
    <row r="133" spans="1:17" ht="16.5" hidden="1">
      <c r="A133" s="113">
        <f>IFERROR(INDEX(Tabela2[ID_Area], MATCH(B133,Tabela2[Area], 0)), "Não encontrado")</f>
        <v>1002</v>
      </c>
      <c r="B133" s="47" t="s">
        <v>79</v>
      </c>
      <c r="C133" s="48" t="s">
        <v>71</v>
      </c>
      <c r="D133" s="62">
        <f>IFERROR(INDEX(Metas!$D$2:$D$104, MATCH(E133,Metas!$E$2:$E$104, 0)), "Não encontrado")</f>
        <v>134</v>
      </c>
      <c r="E133" s="63" t="s">
        <v>80</v>
      </c>
      <c r="F133" s="63" t="s">
        <v>338</v>
      </c>
      <c r="G133" s="62" t="str">
        <f t="shared" ca="1" si="8"/>
        <v>Concluído</v>
      </c>
      <c r="H133" s="86">
        <v>45757</v>
      </c>
      <c r="I133" s="73">
        <v>1</v>
      </c>
      <c r="J133" s="53">
        <f t="shared" si="10"/>
        <v>18.888888888888889</v>
      </c>
      <c r="K133" s="84">
        <v>45717</v>
      </c>
      <c r="L133" s="85">
        <v>45767</v>
      </c>
      <c r="M133" s="68">
        <f t="shared" si="9"/>
        <v>51</v>
      </c>
      <c r="N133" s="69">
        <f>IFERROR(INDEX(Tabela3[ID_Responsavel], MATCH(O133,Tabela3[[Responsáveis ]], 0)), "Não encontrado")</f>
        <v>13</v>
      </c>
      <c r="O133" s="58" t="s">
        <v>77</v>
      </c>
      <c r="P133" s="59" t="s">
        <v>31</v>
      </c>
      <c r="Q133" s="79" t="s">
        <v>339</v>
      </c>
    </row>
    <row r="134" spans="1:17" ht="45" hidden="1">
      <c r="A134" s="117">
        <f>IFERROR(INDEX(Tabela2[ID_Area], MATCH(B134,Tabela2[Area], 0)), "Não encontrado")</f>
        <v>1002</v>
      </c>
      <c r="B134" s="47" t="s">
        <v>79</v>
      </c>
      <c r="C134" s="48" t="s">
        <v>71</v>
      </c>
      <c r="D134" s="62">
        <f>IFERROR(INDEX(Metas!$D$2:$D$104, MATCH(E134,Metas!$E$2:$E$104, 0)), "Não encontrado")</f>
        <v>134</v>
      </c>
      <c r="E134" s="63" t="s">
        <v>80</v>
      </c>
      <c r="F134" s="63" t="s">
        <v>340</v>
      </c>
      <c r="G134" s="62" t="str">
        <f t="shared" ca="1" si="8"/>
        <v>Concluído</v>
      </c>
      <c r="H134" s="86">
        <v>45856</v>
      </c>
      <c r="I134" s="73">
        <v>1</v>
      </c>
      <c r="J134" s="53">
        <f t="shared" si="10"/>
        <v>67.777777777777771</v>
      </c>
      <c r="K134" s="84">
        <v>45748</v>
      </c>
      <c r="L134" s="85">
        <v>45930</v>
      </c>
      <c r="M134" s="68">
        <f t="shared" si="9"/>
        <v>183</v>
      </c>
      <c r="N134" s="69">
        <f>IFERROR(INDEX(Tabela3[ID_Responsavel], MATCH(O134,Tabela3[[Responsáveis ]], 0)), "Não encontrado")</f>
        <v>13</v>
      </c>
      <c r="O134" s="58" t="s">
        <v>77</v>
      </c>
      <c r="P134" s="59" t="s">
        <v>31</v>
      </c>
      <c r="Q134" s="81" t="s">
        <v>341</v>
      </c>
    </row>
    <row r="135" spans="1:17" ht="45" hidden="1">
      <c r="A135" s="113">
        <f>IFERROR(INDEX(Tabela2[ID_Area], MATCH(B135,Tabela2[Area], 0)), "Não encontrado")</f>
        <v>1002</v>
      </c>
      <c r="B135" s="47" t="s">
        <v>79</v>
      </c>
      <c r="C135" s="48" t="s">
        <v>259</v>
      </c>
      <c r="D135" s="62">
        <f>IFERROR(INDEX(Metas!$D$2:$D$104, MATCH(E135,Metas!$E$2:$E$104, 0)), "Não encontrado")</f>
        <v>135</v>
      </c>
      <c r="E135" s="63" t="s">
        <v>82</v>
      </c>
      <c r="F135" s="63" t="s">
        <v>342</v>
      </c>
      <c r="G135" s="62" t="str">
        <f t="shared" ca="1" si="8"/>
        <v>Concluído</v>
      </c>
      <c r="H135" s="86">
        <v>45731</v>
      </c>
      <c r="I135" s="73">
        <v>1</v>
      </c>
      <c r="J135" s="53">
        <f t="shared" si="10"/>
        <v>15.950920245398772</v>
      </c>
      <c r="K135" s="84">
        <v>45672</v>
      </c>
      <c r="L135" s="85">
        <v>45736</v>
      </c>
      <c r="M135" s="68">
        <f t="shared" si="9"/>
        <v>65</v>
      </c>
      <c r="N135" s="69">
        <f>IFERROR(INDEX(Tabela3[ID_Responsavel], MATCH(O135,Tabela3[[Responsáveis ]], 0)), "Não encontrado")</f>
        <v>13</v>
      </c>
      <c r="O135" s="58" t="s">
        <v>77</v>
      </c>
      <c r="P135" s="59" t="s">
        <v>31</v>
      </c>
      <c r="Q135" s="81" t="s">
        <v>343</v>
      </c>
    </row>
    <row r="136" spans="1:17" ht="30.75" hidden="1">
      <c r="A136" s="117">
        <f>IFERROR(INDEX(Tabela2[ID_Area], MATCH(B136,Tabela2[Area], 0)), "Não encontrado")</f>
        <v>1002</v>
      </c>
      <c r="B136" s="47" t="s">
        <v>79</v>
      </c>
      <c r="C136" s="48" t="s">
        <v>259</v>
      </c>
      <c r="D136" s="62">
        <f>IFERROR(INDEX(Metas!$D$2:$D$104, MATCH(E136,Metas!$E$2:$E$104, 0)), "Não encontrado")</f>
        <v>135</v>
      </c>
      <c r="E136" s="63" t="s">
        <v>82</v>
      </c>
      <c r="F136" s="63" t="s">
        <v>344</v>
      </c>
      <c r="G136" s="62" t="str">
        <f t="shared" ca="1" si="8"/>
        <v>Concluído</v>
      </c>
      <c r="H136" s="86">
        <v>45746</v>
      </c>
      <c r="I136" s="73">
        <v>1</v>
      </c>
      <c r="J136" s="53">
        <f t="shared" si="10"/>
        <v>7.8527607361963199</v>
      </c>
      <c r="K136" s="84">
        <v>45736</v>
      </c>
      <c r="L136" s="85">
        <v>45767</v>
      </c>
      <c r="M136" s="68">
        <f t="shared" si="9"/>
        <v>32</v>
      </c>
      <c r="N136" s="69">
        <f>IFERROR(INDEX(Tabela3[ID_Responsavel], MATCH(O136,Tabela3[[Responsáveis ]], 0)), "Não encontrado")</f>
        <v>13</v>
      </c>
      <c r="O136" s="58" t="s">
        <v>77</v>
      </c>
      <c r="P136" s="59" t="s">
        <v>31</v>
      </c>
      <c r="Q136" s="81" t="s">
        <v>345</v>
      </c>
    </row>
    <row r="137" spans="1:17" ht="30.75" hidden="1">
      <c r="A137" s="113">
        <f>IFERROR(INDEX(Tabela2[ID_Area], MATCH(B137,Tabela2[Area], 0)), "Não encontrado")</f>
        <v>1002</v>
      </c>
      <c r="B137" s="47" t="s">
        <v>79</v>
      </c>
      <c r="C137" s="48" t="s">
        <v>259</v>
      </c>
      <c r="D137" s="62">
        <f>IFERROR(INDEX(Metas!$D$2:$D$104, MATCH(E137,Metas!$E$2:$E$104, 0)), "Não encontrado")</f>
        <v>135</v>
      </c>
      <c r="E137" s="63" t="s">
        <v>82</v>
      </c>
      <c r="F137" s="63" t="s">
        <v>346</v>
      </c>
      <c r="G137" s="62" t="str">
        <f t="shared" ca="1" si="8"/>
        <v>Concluído</v>
      </c>
      <c r="H137" s="86">
        <v>45746</v>
      </c>
      <c r="I137" s="73">
        <v>1</v>
      </c>
      <c r="J137" s="53">
        <f t="shared" si="10"/>
        <v>5.1533742331288348</v>
      </c>
      <c r="K137" s="84">
        <v>45767</v>
      </c>
      <c r="L137" s="85">
        <v>45787</v>
      </c>
      <c r="M137" s="68">
        <f t="shared" si="9"/>
        <v>21</v>
      </c>
      <c r="N137" s="69">
        <f>IFERROR(INDEX(Tabela3[ID_Responsavel], MATCH(O137,Tabela3[[Responsáveis ]], 0)), "Não encontrado")</f>
        <v>13</v>
      </c>
      <c r="O137" s="58" t="s">
        <v>77</v>
      </c>
      <c r="P137" s="59" t="s">
        <v>31</v>
      </c>
      <c r="Q137" s="81" t="s">
        <v>347</v>
      </c>
    </row>
    <row r="138" spans="1:17" ht="30.75" hidden="1">
      <c r="A138" s="117">
        <f>IFERROR(INDEX(Tabela2[ID_Area], MATCH(B138,Tabela2[Area], 0)), "Não encontrado")</f>
        <v>1002</v>
      </c>
      <c r="B138" s="47" t="s">
        <v>79</v>
      </c>
      <c r="C138" s="48" t="s">
        <v>259</v>
      </c>
      <c r="D138" s="62">
        <f>IFERROR(INDEX(Metas!$D$2:$D$104, MATCH(E138,Metas!$E$2:$E$104, 0)), "Não encontrado")</f>
        <v>135</v>
      </c>
      <c r="E138" s="63" t="s">
        <v>82</v>
      </c>
      <c r="F138" s="63" t="s">
        <v>348</v>
      </c>
      <c r="G138" s="62" t="str">
        <f t="shared" ca="1" si="8"/>
        <v>Concluído</v>
      </c>
      <c r="H138" s="83" t="s">
        <v>198</v>
      </c>
      <c r="I138" s="73">
        <v>1</v>
      </c>
      <c r="J138" s="53">
        <f t="shared" si="10"/>
        <v>31.656441717791409</v>
      </c>
      <c r="K138" s="84">
        <v>45787</v>
      </c>
      <c r="L138" s="85">
        <v>45915</v>
      </c>
      <c r="M138" s="68">
        <f t="shared" si="9"/>
        <v>129</v>
      </c>
      <c r="N138" s="69">
        <f>IFERROR(INDEX(Tabela3[ID_Responsavel], MATCH(O138,Tabela3[[Responsáveis ]], 0)), "Não encontrado")</f>
        <v>13</v>
      </c>
      <c r="O138" s="58" t="s">
        <v>77</v>
      </c>
      <c r="P138" s="59" t="s">
        <v>31</v>
      </c>
      <c r="Q138" s="81" t="s">
        <v>349</v>
      </c>
    </row>
    <row r="139" spans="1:17" ht="30.75" hidden="1">
      <c r="A139" s="113">
        <f>IFERROR(INDEX(Tabela2[ID_Area], MATCH(B139,Tabela2[Area], 0)), "Não encontrado")</f>
        <v>1002</v>
      </c>
      <c r="B139" s="47" t="s">
        <v>79</v>
      </c>
      <c r="C139" s="48" t="s">
        <v>259</v>
      </c>
      <c r="D139" s="62">
        <f>IFERROR(INDEX(Metas!$D$2:$D$104, MATCH(E139,Metas!$E$2:$E$104, 0)), "Não encontrado")</f>
        <v>135</v>
      </c>
      <c r="E139" s="63" t="s">
        <v>82</v>
      </c>
      <c r="F139" s="63" t="s">
        <v>350</v>
      </c>
      <c r="G139" s="62" t="str">
        <f t="shared" ca="1" si="8"/>
        <v>Concluído</v>
      </c>
      <c r="H139" s="83" t="s">
        <v>198</v>
      </c>
      <c r="I139" s="73">
        <v>1</v>
      </c>
      <c r="J139" s="53">
        <f t="shared" si="10"/>
        <v>28.95705521472393</v>
      </c>
      <c r="K139" s="84">
        <v>45828</v>
      </c>
      <c r="L139" s="85">
        <v>45945</v>
      </c>
      <c r="M139" s="68">
        <f t="shared" si="9"/>
        <v>118</v>
      </c>
      <c r="N139" s="69">
        <f>IFERROR(INDEX(Tabela3[ID_Responsavel], MATCH(O139,Tabela3[[Responsáveis ]], 0)), "Não encontrado")</f>
        <v>13</v>
      </c>
      <c r="O139" s="58" t="s">
        <v>77</v>
      </c>
      <c r="P139" s="59" t="s">
        <v>31</v>
      </c>
      <c r="Q139" s="81" t="s">
        <v>351</v>
      </c>
    </row>
    <row r="140" spans="1:17" ht="30.75" hidden="1">
      <c r="A140" s="117">
        <f>IFERROR(INDEX(Tabela2[ID_Area], MATCH(B140,Tabela2[Area], 0)), "Não encontrado")</f>
        <v>1002</v>
      </c>
      <c r="B140" s="47" t="s">
        <v>79</v>
      </c>
      <c r="C140" s="48" t="s">
        <v>259</v>
      </c>
      <c r="D140" s="62">
        <f>IFERROR(INDEX(Metas!$D$2:$D$104, MATCH(E140,Metas!$E$2:$E$104, 0)), "Não encontrado")</f>
        <v>135</v>
      </c>
      <c r="E140" s="63" t="s">
        <v>82</v>
      </c>
      <c r="F140" s="63" t="s">
        <v>352</v>
      </c>
      <c r="G140" s="62" t="str">
        <f t="shared" ca="1" si="8"/>
        <v>Atrasado</v>
      </c>
      <c r="H140" s="83" t="s">
        <v>198</v>
      </c>
      <c r="I140" s="73">
        <v>0</v>
      </c>
      <c r="J140" s="53">
        <f t="shared" si="10"/>
        <v>30.429447852760735</v>
      </c>
      <c r="K140" s="84">
        <v>45899</v>
      </c>
      <c r="L140" s="85">
        <v>46022</v>
      </c>
      <c r="M140" s="68">
        <f t="shared" si="9"/>
        <v>124</v>
      </c>
      <c r="N140" s="69">
        <f>IFERROR(INDEX(Tabela3[ID_Responsavel], MATCH(O140,Tabela3[[Responsáveis ]], 0)), "Não encontrado")</f>
        <v>13</v>
      </c>
      <c r="O140" s="58" t="s">
        <v>77</v>
      </c>
      <c r="P140" s="59" t="s">
        <v>31</v>
      </c>
      <c r="Q140" s="79" t="s">
        <v>83</v>
      </c>
    </row>
    <row r="141" spans="1:17" ht="16.5" hidden="1">
      <c r="A141" s="113">
        <f>IFERROR(INDEX(Tabela2[ID_Area], MATCH(B141,Tabela2[Area], 0)), "Não encontrado")</f>
        <v>1002</v>
      </c>
      <c r="B141" s="47" t="s">
        <v>79</v>
      </c>
      <c r="C141" s="48" t="s">
        <v>55</v>
      </c>
      <c r="D141" s="62">
        <f>IFERROR(INDEX(Metas!$D$2:$D$104, MATCH(E141,Metas!$E$2:$E$104, 0)), "Não encontrado")</f>
        <v>136</v>
      </c>
      <c r="E141" s="63" t="s">
        <v>84</v>
      </c>
      <c r="F141" s="63" t="s">
        <v>353</v>
      </c>
      <c r="G141" s="62" t="str">
        <f t="shared" ca="1" si="8"/>
        <v>Concluído</v>
      </c>
      <c r="H141" s="86">
        <v>45762</v>
      </c>
      <c r="I141" s="73">
        <v>1</v>
      </c>
      <c r="J141" s="53">
        <f t="shared" si="10"/>
        <v>4.7407407407407405</v>
      </c>
      <c r="K141" s="84">
        <v>45731</v>
      </c>
      <c r="L141" s="85">
        <v>45762</v>
      </c>
      <c r="M141" s="68">
        <f t="shared" si="9"/>
        <v>32</v>
      </c>
      <c r="N141" s="69">
        <f>IFERROR(INDEX(Tabela3[ID_Responsavel], MATCH(O141,Tabela3[[Responsáveis ]], 0)), "Não encontrado")</f>
        <v>13</v>
      </c>
      <c r="O141" s="58" t="s">
        <v>77</v>
      </c>
      <c r="P141" s="59" t="s">
        <v>31</v>
      </c>
      <c r="Q141" s="81" t="s">
        <v>354</v>
      </c>
    </row>
    <row r="142" spans="1:17" ht="16.5" hidden="1">
      <c r="A142" s="117">
        <f>IFERROR(INDEX(Tabela2[ID_Area], MATCH(B142,Tabela2[Area], 0)), "Não encontrado")</f>
        <v>1002</v>
      </c>
      <c r="B142" s="47" t="s">
        <v>79</v>
      </c>
      <c r="C142" s="48" t="s">
        <v>55</v>
      </c>
      <c r="D142" s="62">
        <f>IFERROR(INDEX(Metas!$D$2:$D$104, MATCH(E142,Metas!$E$2:$E$104, 0)), "Não encontrado")</f>
        <v>136</v>
      </c>
      <c r="E142" s="63" t="s">
        <v>84</v>
      </c>
      <c r="F142" s="63" t="s">
        <v>355</v>
      </c>
      <c r="G142" s="62" t="str">
        <f t="shared" ca="1" si="8"/>
        <v>Concluído</v>
      </c>
      <c r="H142" s="86">
        <v>46260</v>
      </c>
      <c r="I142" s="73">
        <v>1</v>
      </c>
      <c r="J142" s="53">
        <f t="shared" si="10"/>
        <v>37.777777777777779</v>
      </c>
      <c r="K142" s="84">
        <v>45757</v>
      </c>
      <c r="L142" s="85">
        <v>46011</v>
      </c>
      <c r="M142" s="68">
        <f t="shared" si="9"/>
        <v>255</v>
      </c>
      <c r="N142" s="69">
        <f>IFERROR(INDEX(Tabela3[ID_Responsavel], MATCH(O142,Tabela3[[Responsáveis ]], 0)), "Não encontrado")</f>
        <v>13</v>
      </c>
      <c r="O142" s="58" t="s">
        <v>77</v>
      </c>
      <c r="P142" s="59" t="s">
        <v>31</v>
      </c>
      <c r="Q142" s="81" t="s">
        <v>356</v>
      </c>
    </row>
    <row r="143" spans="1:17" ht="16.5" hidden="1">
      <c r="A143" s="113">
        <f>IFERROR(INDEX(Tabela2[ID_Area], MATCH(B143,Tabela2[Area], 0)), "Não encontrado")</f>
        <v>1002</v>
      </c>
      <c r="B143" s="47" t="s">
        <v>79</v>
      </c>
      <c r="C143" s="48" t="s">
        <v>55</v>
      </c>
      <c r="D143" s="62">
        <f>IFERROR(INDEX(Metas!$D$2:$D$104, MATCH(E143,Metas!$E$2:$E$104, 0)), "Não encontrado")</f>
        <v>136</v>
      </c>
      <c r="E143" s="63" t="s">
        <v>84</v>
      </c>
      <c r="F143" s="63" t="s">
        <v>317</v>
      </c>
      <c r="G143" s="62" t="str">
        <f t="shared" ca="1" si="8"/>
        <v>Concluído</v>
      </c>
      <c r="H143" s="86">
        <v>45852</v>
      </c>
      <c r="I143" s="73">
        <v>1</v>
      </c>
      <c r="J143" s="53">
        <f t="shared" si="10"/>
        <v>31.851851851851855</v>
      </c>
      <c r="K143" s="84">
        <v>45797</v>
      </c>
      <c r="L143" s="85">
        <v>46011</v>
      </c>
      <c r="M143" s="68">
        <f t="shared" si="9"/>
        <v>215</v>
      </c>
      <c r="N143" s="69">
        <f>IFERROR(INDEX(Tabela3[ID_Responsavel], MATCH(O143,Tabela3[[Responsáveis ]], 0)), "Não encontrado")</f>
        <v>13</v>
      </c>
      <c r="O143" s="58" t="s">
        <v>77</v>
      </c>
      <c r="P143" s="59" t="s">
        <v>31</v>
      </c>
      <c r="Q143" s="79" t="s">
        <v>357</v>
      </c>
    </row>
    <row r="144" spans="1:17" ht="16.5" hidden="1">
      <c r="A144" s="117">
        <f>IFERROR(INDEX(Tabela2[ID_Area], MATCH(B144,Tabela2[Area], 0)), "Não encontrado")</f>
        <v>1002</v>
      </c>
      <c r="B144" s="47" t="s">
        <v>79</v>
      </c>
      <c r="C144" s="48" t="s">
        <v>55</v>
      </c>
      <c r="D144" s="62">
        <f>IFERROR(INDEX(Metas!$D$2:$D$104, MATCH(E144,Metas!$E$2:$E$104, 0)), "Não encontrado")</f>
        <v>136</v>
      </c>
      <c r="E144" s="63" t="s">
        <v>84</v>
      </c>
      <c r="F144" s="63" t="s">
        <v>358</v>
      </c>
      <c r="G144" s="62" t="str">
        <f t="shared" ca="1" si="8"/>
        <v>Concluído</v>
      </c>
      <c r="H144" s="86">
        <v>46006</v>
      </c>
      <c r="I144" s="73">
        <v>1</v>
      </c>
      <c r="J144" s="53">
        <f t="shared" si="10"/>
        <v>22.814814814814817</v>
      </c>
      <c r="K144" s="84">
        <v>45858</v>
      </c>
      <c r="L144" s="85">
        <v>46011</v>
      </c>
      <c r="M144" s="68">
        <f t="shared" si="9"/>
        <v>154</v>
      </c>
      <c r="N144" s="69">
        <f>IFERROR(INDEX(Tabela3[ID_Responsavel], MATCH(O144,Tabela3[[Responsáveis ]], 0)), "Não encontrado")</f>
        <v>13</v>
      </c>
      <c r="O144" s="58" t="s">
        <v>77</v>
      </c>
      <c r="P144" s="59" t="s">
        <v>31</v>
      </c>
      <c r="Q144" s="79" t="s">
        <v>359</v>
      </c>
    </row>
    <row r="145" spans="1:17" ht="16.5" hidden="1">
      <c r="A145" s="113">
        <f>IFERROR(INDEX(Tabela2[ID_Area], MATCH(B145,Tabela2[Area], 0)), "Não encontrado")</f>
        <v>1002</v>
      </c>
      <c r="B145" s="47" t="s">
        <v>79</v>
      </c>
      <c r="C145" s="48" t="s">
        <v>55</v>
      </c>
      <c r="D145" s="62">
        <f>IFERROR(INDEX(Metas!$D$2:$D$104, MATCH(E145,Metas!$E$2:$E$104, 0)), "Não encontrado")</f>
        <v>136</v>
      </c>
      <c r="E145" s="63" t="s">
        <v>84</v>
      </c>
      <c r="F145" s="63" t="s">
        <v>319</v>
      </c>
      <c r="G145" s="62" t="str">
        <f t="shared" ca="1" si="8"/>
        <v>Concluído</v>
      </c>
      <c r="H145" s="86">
        <v>46006</v>
      </c>
      <c r="I145" s="73">
        <v>1</v>
      </c>
      <c r="J145" s="53">
        <f t="shared" si="10"/>
        <v>17.62962962962963</v>
      </c>
      <c r="K145" s="84">
        <v>45858</v>
      </c>
      <c r="L145" s="85">
        <v>45976</v>
      </c>
      <c r="M145" s="68">
        <f t="shared" si="9"/>
        <v>119</v>
      </c>
      <c r="N145" s="69">
        <f>IFERROR(INDEX(Tabela3[ID_Responsavel], MATCH(O145,Tabela3[[Responsáveis ]], 0)), "Não encontrado")</f>
        <v>13</v>
      </c>
      <c r="O145" s="58" t="s">
        <v>77</v>
      </c>
      <c r="P145" s="59" t="s">
        <v>31</v>
      </c>
      <c r="Q145" s="79" t="s">
        <v>360</v>
      </c>
    </row>
    <row r="146" spans="1:17" ht="16.5" hidden="1">
      <c r="A146" s="117">
        <f>IFERROR(INDEX(Tabela2[ID_Area], MATCH(B146,Tabela2[Area], 0)), "Não encontrado")</f>
        <v>1002</v>
      </c>
      <c r="B146" s="47" t="s">
        <v>79</v>
      </c>
      <c r="C146" s="48" t="s">
        <v>55</v>
      </c>
      <c r="D146" s="62">
        <f>IFERROR(INDEX(Metas!$D$2:$D$104, MATCH(E146,Metas!$E$2:$E$104, 0)), "Não encontrado")</f>
        <v>136</v>
      </c>
      <c r="E146" s="63" t="s">
        <v>84</v>
      </c>
      <c r="F146" s="63" t="s">
        <v>361</v>
      </c>
      <c r="G146" s="62" t="str">
        <f t="shared" ca="1" si="8"/>
        <v>Atrasado</v>
      </c>
      <c r="H146" s="83" t="s">
        <v>198</v>
      </c>
      <c r="I146" s="73">
        <v>0.5</v>
      </c>
      <c r="J146" s="53">
        <f t="shared" si="10"/>
        <v>5.1851851851851851</v>
      </c>
      <c r="K146" s="84">
        <v>45977</v>
      </c>
      <c r="L146" s="85">
        <v>46011</v>
      </c>
      <c r="M146" s="68">
        <f t="shared" si="9"/>
        <v>35</v>
      </c>
      <c r="N146" s="69">
        <f>IFERROR(INDEX(Tabela3[ID_Responsavel], MATCH(O146,Tabela3[[Responsáveis ]], 0)), "Não encontrado")</f>
        <v>13</v>
      </c>
      <c r="O146" s="58" t="s">
        <v>77</v>
      </c>
      <c r="P146" s="59" t="s">
        <v>31</v>
      </c>
      <c r="Q146" s="79" t="s">
        <v>362</v>
      </c>
    </row>
    <row r="147" spans="1:17" ht="16.5" hidden="1">
      <c r="A147" s="113">
        <f>IFERROR(INDEX(Tabela2[ID_Area], MATCH(B147,Tabela2[Area], 0)), "Não encontrado")</f>
        <v>1003</v>
      </c>
      <c r="B147" s="47" t="s">
        <v>92</v>
      </c>
      <c r="C147" s="48" t="s">
        <v>24</v>
      </c>
      <c r="D147" s="62">
        <f>IFERROR(INDEX(Metas!$D$2:$D$104, MATCH(E147,Metas!$E$2:$E$104, 0)), "Não encontrado")</f>
        <v>141</v>
      </c>
      <c r="E147" s="63" t="s">
        <v>93</v>
      </c>
      <c r="F147" s="63" t="s">
        <v>363</v>
      </c>
      <c r="G147" s="62" t="str">
        <f t="shared" ca="1" si="8"/>
        <v>Concluído</v>
      </c>
      <c r="H147" s="88" t="s">
        <v>198</v>
      </c>
      <c r="I147" s="89">
        <v>1</v>
      </c>
      <c r="J147" s="53">
        <f t="shared" si="10"/>
        <v>120</v>
      </c>
      <c r="K147" s="90">
        <v>45814</v>
      </c>
      <c r="L147" s="91">
        <v>46016</v>
      </c>
      <c r="M147" s="68">
        <f t="shared" si="9"/>
        <v>203</v>
      </c>
      <c r="N147" s="69">
        <f>IFERROR(INDEX(Tabela3[ID_Responsavel], MATCH(O147,Tabela3[[Responsáveis ]], 0)), "Não encontrado")</f>
        <v>8</v>
      </c>
      <c r="O147" s="58" t="s">
        <v>94</v>
      </c>
      <c r="P147" s="59" t="s">
        <v>19</v>
      </c>
      <c r="Q147" s="60" t="s">
        <v>198</v>
      </c>
    </row>
    <row r="148" spans="1:17" ht="16.5" hidden="1">
      <c r="A148" s="117">
        <f>IFERROR(INDEX(Tabela2[ID_Area], MATCH(B148,Tabela2[Area], 0)), "Não encontrado")</f>
        <v>1003</v>
      </c>
      <c r="B148" s="47" t="s">
        <v>92</v>
      </c>
      <c r="C148" s="48" t="s">
        <v>24</v>
      </c>
      <c r="D148" s="62">
        <f>IFERROR(INDEX(Metas!$D$2:$D$104, MATCH(E148,Metas!$E$2:$E$104, 0)), "Não encontrado")</f>
        <v>142</v>
      </c>
      <c r="E148" s="63" t="s">
        <v>95</v>
      </c>
      <c r="F148" s="63" t="s">
        <v>364</v>
      </c>
      <c r="G148" s="62" t="str">
        <f t="shared" ca="1" si="8"/>
        <v>Concluído</v>
      </c>
      <c r="H148" s="88" t="s">
        <v>198</v>
      </c>
      <c r="I148" s="89">
        <v>1</v>
      </c>
      <c r="J148" s="53">
        <f t="shared" si="10"/>
        <v>120</v>
      </c>
      <c r="K148" s="90">
        <v>45810</v>
      </c>
      <c r="L148" s="92">
        <v>46022</v>
      </c>
      <c r="M148" s="68">
        <f t="shared" si="9"/>
        <v>213</v>
      </c>
      <c r="N148" s="69">
        <f>IFERROR(INDEX(Tabela3[ID_Responsavel], MATCH(O148,Tabela3[[Responsáveis ]], 0)), "Não encontrado")</f>
        <v>8</v>
      </c>
      <c r="O148" s="58" t="s">
        <v>94</v>
      </c>
      <c r="P148" s="59" t="s">
        <v>19</v>
      </c>
      <c r="Q148" s="60" t="s">
        <v>365</v>
      </c>
    </row>
    <row r="149" spans="1:17" ht="16.5" hidden="1">
      <c r="A149" s="113">
        <f>IFERROR(INDEX(Tabela2[ID_Area], MATCH(B149,Tabela2[Area], 0)), "Não encontrado")</f>
        <v>1003</v>
      </c>
      <c r="B149" s="47" t="s">
        <v>92</v>
      </c>
      <c r="C149" s="48" t="s">
        <v>24</v>
      </c>
      <c r="D149" s="62">
        <f>IFERROR(INDEX(Metas!$D$2:$D$104, MATCH(E149,Metas!$E$2:$E$104, 0)), "Não encontrado")</f>
        <v>143</v>
      </c>
      <c r="E149" s="63" t="s">
        <v>96</v>
      </c>
      <c r="F149" s="63" t="s">
        <v>366</v>
      </c>
      <c r="G149" s="62" t="str">
        <f t="shared" ca="1" si="8"/>
        <v>Concluído</v>
      </c>
      <c r="H149" s="160">
        <v>45960</v>
      </c>
      <c r="I149" s="89">
        <v>1</v>
      </c>
      <c r="J149" s="53">
        <f t="shared" si="10"/>
        <v>120</v>
      </c>
      <c r="K149" s="93">
        <v>45677</v>
      </c>
      <c r="L149" s="92">
        <v>46022</v>
      </c>
      <c r="M149" s="68">
        <f t="shared" si="9"/>
        <v>346</v>
      </c>
      <c r="N149" s="69">
        <f>IFERROR(INDEX(Tabela3[ID_Responsavel], MATCH(O149,Tabela3[[Responsáveis ]], 0)), "Não encontrado")</f>
        <v>8</v>
      </c>
      <c r="O149" s="58" t="s">
        <v>94</v>
      </c>
      <c r="P149" s="59" t="s">
        <v>19</v>
      </c>
      <c r="Q149" s="60" t="s">
        <v>198</v>
      </c>
    </row>
    <row r="150" spans="1:17" ht="16.5" hidden="1">
      <c r="A150" s="117">
        <f>IFERROR(INDEX(Tabela2[ID_Area], MATCH(B150,Tabela2[Area], 0)), "Não encontrado")</f>
        <v>1003</v>
      </c>
      <c r="B150" s="47" t="s">
        <v>92</v>
      </c>
      <c r="C150" s="48" t="s">
        <v>24</v>
      </c>
      <c r="D150" s="62">
        <f>IFERROR(INDEX(Metas!$D$2:$D$104, MATCH(E150,Metas!$E$2:$E$104, 0)), "Não encontrado")</f>
        <v>144</v>
      </c>
      <c r="E150" s="63" t="s">
        <v>97</v>
      </c>
      <c r="F150" s="63" t="s">
        <v>367</v>
      </c>
      <c r="G150" s="62" t="str">
        <f t="shared" ca="1" si="8"/>
        <v>Concluído</v>
      </c>
      <c r="H150" s="86">
        <v>45960</v>
      </c>
      <c r="I150" s="65">
        <v>1</v>
      </c>
      <c r="J150" s="53">
        <f t="shared" si="10"/>
        <v>31.692559280457893</v>
      </c>
      <c r="K150" s="84">
        <v>45700</v>
      </c>
      <c r="L150" s="85">
        <v>46022</v>
      </c>
      <c r="M150" s="68">
        <f t="shared" si="9"/>
        <v>323</v>
      </c>
      <c r="N150" s="69">
        <f>IFERROR(INDEX(Tabela3[ID_Responsavel], MATCH(O150,Tabela3[[Responsáveis ]], 0)), "Não encontrado")</f>
        <v>8</v>
      </c>
      <c r="O150" s="58" t="s">
        <v>94</v>
      </c>
      <c r="P150" s="59" t="s">
        <v>19</v>
      </c>
      <c r="Q150" s="60" t="s">
        <v>198</v>
      </c>
    </row>
    <row r="151" spans="1:17" ht="16.5" hidden="1">
      <c r="A151" s="113">
        <f>IFERROR(INDEX(Tabela2[ID_Area], MATCH(B151,Tabela2[Area], 0)), "Não encontrado")</f>
        <v>1003</v>
      </c>
      <c r="B151" s="47" t="s">
        <v>92</v>
      </c>
      <c r="C151" s="48" t="s">
        <v>24</v>
      </c>
      <c r="D151" s="62">
        <f>IFERROR(INDEX(Metas!$D$2:$D$104, MATCH(E151,Metas!$E$2:$E$104, 0)), "Não encontrado")</f>
        <v>144</v>
      </c>
      <c r="E151" s="63" t="s">
        <v>97</v>
      </c>
      <c r="F151" s="63" t="s">
        <v>368</v>
      </c>
      <c r="G151" s="62" t="str">
        <f t="shared" ca="1" si="8"/>
        <v>Concluído</v>
      </c>
      <c r="H151" s="86">
        <v>45960</v>
      </c>
      <c r="I151" s="65">
        <v>1</v>
      </c>
      <c r="J151" s="53">
        <f t="shared" si="10"/>
        <v>25.020441537203599</v>
      </c>
      <c r="K151" s="84">
        <v>45767</v>
      </c>
      <c r="L151" s="85">
        <v>46021</v>
      </c>
      <c r="M151" s="68">
        <f t="shared" si="9"/>
        <v>255</v>
      </c>
      <c r="N151" s="69">
        <f>IFERROR(INDEX(Tabela3[ID_Responsavel], MATCH(O151,Tabela3[[Responsáveis ]], 0)), "Não encontrado")</f>
        <v>8</v>
      </c>
      <c r="O151" s="58" t="s">
        <v>94</v>
      </c>
      <c r="P151" s="59" t="s">
        <v>19</v>
      </c>
      <c r="Q151" s="60"/>
    </row>
    <row r="152" spans="1:17" ht="16.5" hidden="1">
      <c r="A152" s="117">
        <f>IFERROR(INDEX(Tabela2[ID_Area], MATCH(B152,Tabela2[Area], 0)), "Não encontrado")</f>
        <v>1003</v>
      </c>
      <c r="B152" s="47" t="s">
        <v>92</v>
      </c>
      <c r="C152" s="48" t="s">
        <v>24</v>
      </c>
      <c r="D152" s="62">
        <f>IFERROR(INDEX(Metas!$D$2:$D$104, MATCH(E152,Metas!$E$2:$E$104, 0)), "Não encontrado")</f>
        <v>144</v>
      </c>
      <c r="E152" s="63" t="s">
        <v>97</v>
      </c>
      <c r="F152" s="63" t="s">
        <v>369</v>
      </c>
      <c r="G152" s="62" t="str">
        <f t="shared" ref="G152:G194" ca="1" si="11">IF(I152=1,"Concluído",
   IF(TODAY()&gt;L152,"Atrasado",
      IF(AND(I152=0,TODAY()&lt;K152),"Não iniciado",
         "Em Andamento")))</f>
        <v>Concluído</v>
      </c>
      <c r="H152" s="83">
        <v>45960</v>
      </c>
      <c r="I152" s="65">
        <v>1</v>
      </c>
      <c r="J152" s="53">
        <f t="shared" si="10"/>
        <v>31.692559280457893</v>
      </c>
      <c r="K152" s="84">
        <v>45700</v>
      </c>
      <c r="L152" s="85">
        <v>46022</v>
      </c>
      <c r="M152" s="68">
        <f t="shared" ref="M152:M194" si="12" xml:space="preserve"> L152 - K152 + 1</f>
        <v>323</v>
      </c>
      <c r="N152" s="69">
        <f>IFERROR(INDEX(Tabela3[ID_Responsavel], MATCH(O152,Tabela3[[Responsáveis ]], 0)), "Não encontrado")</f>
        <v>8</v>
      </c>
      <c r="O152" s="58" t="s">
        <v>94</v>
      </c>
      <c r="P152" s="59" t="s">
        <v>19</v>
      </c>
      <c r="Q152" s="60"/>
    </row>
    <row r="153" spans="1:17" ht="16.5" hidden="1">
      <c r="A153" s="113">
        <f>IFERROR(INDEX(Tabela2[ID_Area], MATCH(B153,Tabela2[Area], 0)), "Não encontrado")</f>
        <v>1003</v>
      </c>
      <c r="B153" s="47" t="s">
        <v>92</v>
      </c>
      <c r="C153" s="48" t="s">
        <v>24</v>
      </c>
      <c r="D153" s="62">
        <f>IFERROR(INDEX(Metas!$D$2:$D$104, MATCH(E153,Metas!$E$2:$E$104, 0)), "Não encontrado")</f>
        <v>144</v>
      </c>
      <c r="E153" s="63" t="s">
        <v>97</v>
      </c>
      <c r="F153" s="63" t="s">
        <v>370</v>
      </c>
      <c r="G153" s="62" t="str">
        <f t="shared" ca="1" si="11"/>
        <v>Concluído</v>
      </c>
      <c r="H153" s="83"/>
      <c r="I153" s="65">
        <v>1</v>
      </c>
      <c r="J153" s="53">
        <f t="shared" si="10"/>
        <v>31.594439901880619</v>
      </c>
      <c r="K153" s="84">
        <v>45701</v>
      </c>
      <c r="L153" s="85">
        <v>46022</v>
      </c>
      <c r="M153" s="68">
        <f t="shared" si="12"/>
        <v>322</v>
      </c>
      <c r="N153" s="69">
        <f>IFERROR(INDEX(Tabela3[ID_Responsavel], MATCH(O153,Tabela3[[Responsáveis ]], 0)), "Não encontrado")</f>
        <v>8</v>
      </c>
      <c r="O153" s="58" t="s">
        <v>94</v>
      </c>
      <c r="P153" s="59" t="s">
        <v>19</v>
      </c>
      <c r="Q153" s="60"/>
    </row>
    <row r="154" spans="1:17" ht="16.5" hidden="1">
      <c r="A154" s="117">
        <f>IFERROR(INDEX(Tabela2[ID_Area], MATCH(B154,Tabela2[Area], 0)), "Não encontrado")</f>
        <v>1003</v>
      </c>
      <c r="B154" s="47" t="s">
        <v>92</v>
      </c>
      <c r="C154" s="48" t="s">
        <v>24</v>
      </c>
      <c r="D154" s="62">
        <f>IFERROR(INDEX(Metas!$D$2:$D$104, MATCH(E154,Metas!$E$2:$E$104, 0)), "Não encontrado")</f>
        <v>145</v>
      </c>
      <c r="E154" s="63" t="s">
        <v>98</v>
      </c>
      <c r="F154" s="63" t="s">
        <v>371</v>
      </c>
      <c r="G154" s="62" t="str">
        <f t="shared" ca="1" si="11"/>
        <v>Concluído</v>
      </c>
      <c r="H154" s="83" t="s">
        <v>198</v>
      </c>
      <c r="I154" s="65">
        <v>1</v>
      </c>
      <c r="J154" s="53">
        <f t="shared" si="10"/>
        <v>39.069767441860471</v>
      </c>
      <c r="K154" s="84">
        <v>45659</v>
      </c>
      <c r="L154" s="85">
        <v>46022</v>
      </c>
      <c r="M154" s="68">
        <f t="shared" si="12"/>
        <v>364</v>
      </c>
      <c r="N154" s="69">
        <f>IFERROR(INDEX(Tabela3[ID_Responsavel], MATCH(O154,Tabela3[[Responsáveis ]], 0)), "Não encontrado")</f>
        <v>8</v>
      </c>
      <c r="O154" s="58" t="s">
        <v>94</v>
      </c>
      <c r="P154" s="59" t="s">
        <v>19</v>
      </c>
      <c r="Q154" s="60"/>
    </row>
    <row r="155" spans="1:17" ht="16.5" hidden="1">
      <c r="A155" s="113">
        <f>IFERROR(INDEX(Tabela2[ID_Area], MATCH(B155,Tabela2[Area], 0)), "Não encontrado")</f>
        <v>1003</v>
      </c>
      <c r="B155" s="47" t="s">
        <v>92</v>
      </c>
      <c r="C155" s="48" t="s">
        <v>24</v>
      </c>
      <c r="D155" s="62">
        <f>IFERROR(INDEX(Metas!$D$2:$D$104, MATCH(E155,Metas!$E$2:$E$104, 0)), "Não encontrado")</f>
        <v>145</v>
      </c>
      <c r="E155" s="63" t="s">
        <v>98</v>
      </c>
      <c r="F155" s="63" t="s">
        <v>372</v>
      </c>
      <c r="G155" s="62" t="str">
        <f t="shared" ca="1" si="11"/>
        <v>Concluído</v>
      </c>
      <c r="H155" s="83" t="s">
        <v>198</v>
      </c>
      <c r="I155" s="65">
        <v>1</v>
      </c>
      <c r="J155" s="53">
        <f t="shared" si="10"/>
        <v>35.849731663685155</v>
      </c>
      <c r="K155" s="84">
        <v>45689</v>
      </c>
      <c r="L155" s="85">
        <v>46022</v>
      </c>
      <c r="M155" s="68">
        <f t="shared" si="12"/>
        <v>334</v>
      </c>
      <c r="N155" s="69">
        <f>IFERROR(INDEX(Tabela3[ID_Responsavel], MATCH(O155,Tabela3[[Responsáveis ]], 0)), "Não encontrado")</f>
        <v>8</v>
      </c>
      <c r="O155" s="58" t="s">
        <v>94</v>
      </c>
      <c r="P155" s="59" t="s">
        <v>19</v>
      </c>
      <c r="Q155" s="60" t="s">
        <v>373</v>
      </c>
    </row>
    <row r="156" spans="1:17" ht="16.5" hidden="1">
      <c r="A156" s="117">
        <f>IFERROR(INDEX(Tabela2[ID_Area], MATCH(B156,Tabela2[Area], 0)), "Não encontrado")</f>
        <v>1003</v>
      </c>
      <c r="B156" s="47" t="s">
        <v>92</v>
      </c>
      <c r="C156" s="48" t="s">
        <v>24</v>
      </c>
      <c r="D156" s="62">
        <f>IFERROR(INDEX(Metas!$D$2:$D$104, MATCH(E156,Metas!$E$2:$E$104, 0)), "Não encontrado")</f>
        <v>145</v>
      </c>
      <c r="E156" s="63" t="s">
        <v>98</v>
      </c>
      <c r="F156" s="63" t="s">
        <v>374</v>
      </c>
      <c r="G156" s="62" t="str">
        <f t="shared" ca="1" si="11"/>
        <v>Concluído</v>
      </c>
      <c r="H156" s="83"/>
      <c r="I156" s="65">
        <v>1</v>
      </c>
      <c r="J156" s="53">
        <f t="shared" si="10"/>
        <v>9.4454382826475847</v>
      </c>
      <c r="K156" s="84">
        <v>45690</v>
      </c>
      <c r="L156" s="85">
        <v>45777</v>
      </c>
      <c r="M156" s="68">
        <f t="shared" si="12"/>
        <v>88</v>
      </c>
      <c r="N156" s="69">
        <f>IFERROR(INDEX(Tabela3[ID_Responsavel], MATCH(O156,Tabela3[[Responsáveis ]], 0)), "Não encontrado")</f>
        <v>8</v>
      </c>
      <c r="O156" s="58" t="s">
        <v>94</v>
      </c>
      <c r="P156" s="59" t="s">
        <v>19</v>
      </c>
      <c r="Q156" s="60" t="s">
        <v>375</v>
      </c>
    </row>
    <row r="157" spans="1:17" ht="16.5" hidden="1">
      <c r="A157" s="113">
        <f>IFERROR(INDEX(Tabela2[ID_Area], MATCH(B157,Tabela2[Area], 0)), "Não encontrado")</f>
        <v>1003</v>
      </c>
      <c r="B157" s="47" t="s">
        <v>92</v>
      </c>
      <c r="C157" s="48" t="s">
        <v>24</v>
      </c>
      <c r="D157" s="62">
        <f>IFERROR(INDEX(Metas!$D$2:$D$104, MATCH(E157,Metas!$E$2:$E$104, 0)), "Não encontrado")</f>
        <v>145</v>
      </c>
      <c r="E157" s="63" t="s">
        <v>98</v>
      </c>
      <c r="F157" s="63" t="s">
        <v>376</v>
      </c>
      <c r="G157" s="62" t="str">
        <f t="shared" ca="1" si="11"/>
        <v>Concluído</v>
      </c>
      <c r="H157" s="83"/>
      <c r="I157" s="65">
        <v>1</v>
      </c>
      <c r="J157" s="53">
        <f t="shared" si="10"/>
        <v>35.635062611806795</v>
      </c>
      <c r="K157" s="84">
        <v>45691</v>
      </c>
      <c r="L157" s="85">
        <v>46022</v>
      </c>
      <c r="M157" s="68">
        <f t="shared" si="12"/>
        <v>332</v>
      </c>
      <c r="N157" s="69">
        <f>IFERROR(INDEX(Tabela3[ID_Responsavel], MATCH(O157,Tabela3[[Responsáveis ]], 0)), "Não encontrado")</f>
        <v>8</v>
      </c>
      <c r="O157" s="58" t="s">
        <v>94</v>
      </c>
      <c r="P157" s="59" t="s">
        <v>19</v>
      </c>
      <c r="Q157" s="60"/>
    </row>
    <row r="158" spans="1:17" ht="16.5" hidden="1">
      <c r="A158" s="117">
        <f>IFERROR(INDEX(Tabela2[ID_Area], MATCH(B158,Tabela2[Area], 0)), "Não encontrado")</f>
        <v>1002</v>
      </c>
      <c r="B158" s="47" t="s">
        <v>79</v>
      </c>
      <c r="C158" s="48" t="s">
        <v>259</v>
      </c>
      <c r="D158" s="62">
        <f>IFERROR(INDEX(Metas!$D$2:$D$104, MATCH(E158,Metas!$E$2:$E$104, 0)), "Não encontrado")</f>
        <v>160</v>
      </c>
      <c r="E158" s="63" t="s">
        <v>123</v>
      </c>
      <c r="F158" s="63" t="s">
        <v>377</v>
      </c>
      <c r="G158" s="62" t="str">
        <f t="shared" ca="1" si="11"/>
        <v>Concluído</v>
      </c>
      <c r="H158" s="64">
        <v>45833</v>
      </c>
      <c r="I158" s="65">
        <v>1</v>
      </c>
      <c r="J158" s="53">
        <f t="shared" si="10"/>
        <v>19.743589743589745</v>
      </c>
      <c r="K158" s="66">
        <v>45670</v>
      </c>
      <c r="L158" s="67">
        <v>45746</v>
      </c>
      <c r="M158" s="68">
        <f t="shared" si="12"/>
        <v>77</v>
      </c>
      <c r="N158" s="69">
        <f>IFERROR(INDEX(Tabela3[ID_Responsavel], MATCH(O158,Tabela3[[Responsáveis ]], 0)), "Não encontrado")</f>
        <v>4</v>
      </c>
      <c r="O158" s="58" t="s">
        <v>124</v>
      </c>
      <c r="P158" s="59" t="s">
        <v>48</v>
      </c>
      <c r="Q158" s="60" t="s">
        <v>198</v>
      </c>
    </row>
    <row r="159" spans="1:17" ht="16.5" hidden="1">
      <c r="A159" s="113">
        <f>IFERROR(INDEX(Tabela2[ID_Area], MATCH(B159,Tabela2[Area], 0)), "Não encontrado")</f>
        <v>1002</v>
      </c>
      <c r="B159" s="47" t="s">
        <v>79</v>
      </c>
      <c r="C159" s="48" t="s">
        <v>259</v>
      </c>
      <c r="D159" s="62">
        <f>IFERROR(INDEX(Metas!$D$2:$D$104, MATCH(E159,Metas!$E$2:$E$104, 0)), "Não encontrado")</f>
        <v>160</v>
      </c>
      <c r="E159" s="63" t="s">
        <v>123</v>
      </c>
      <c r="F159" s="63" t="s">
        <v>378</v>
      </c>
      <c r="G159" s="62" t="str">
        <f t="shared" ca="1" si="11"/>
        <v>Concluído</v>
      </c>
      <c r="H159" s="64">
        <v>45770</v>
      </c>
      <c r="I159" s="65">
        <v>1</v>
      </c>
      <c r="J159" s="53">
        <f t="shared" si="10"/>
        <v>20.256410256410259</v>
      </c>
      <c r="K159" s="66">
        <v>45684</v>
      </c>
      <c r="L159" s="67">
        <v>45762</v>
      </c>
      <c r="M159" s="68">
        <f t="shared" si="12"/>
        <v>79</v>
      </c>
      <c r="N159" s="69">
        <f>IFERROR(INDEX(Tabela3[ID_Responsavel], MATCH(O159,Tabela3[[Responsáveis ]], 0)), "Não encontrado")</f>
        <v>4</v>
      </c>
      <c r="O159" s="58" t="s">
        <v>124</v>
      </c>
      <c r="P159" s="59" t="s">
        <v>48</v>
      </c>
      <c r="Q159" s="60" t="s">
        <v>198</v>
      </c>
    </row>
    <row r="160" spans="1:17" ht="16.5" hidden="1">
      <c r="A160" s="117">
        <f>IFERROR(INDEX(Tabela2[ID_Area], MATCH(B160,Tabela2[Area], 0)), "Não encontrado")</f>
        <v>1002</v>
      </c>
      <c r="B160" s="47" t="s">
        <v>79</v>
      </c>
      <c r="C160" s="48" t="s">
        <v>259</v>
      </c>
      <c r="D160" s="62">
        <f>IFERROR(INDEX(Metas!$D$2:$D$104, MATCH(E160,Metas!$E$2:$E$104, 0)), "Não encontrado")</f>
        <v>160</v>
      </c>
      <c r="E160" s="63" t="s">
        <v>123</v>
      </c>
      <c r="F160" s="63" t="s">
        <v>379</v>
      </c>
      <c r="G160" s="62" t="str">
        <f t="shared" ca="1" si="11"/>
        <v>Concluído</v>
      </c>
      <c r="H160" s="64">
        <v>45770</v>
      </c>
      <c r="I160" s="65">
        <v>1</v>
      </c>
      <c r="J160" s="53">
        <f t="shared" si="10"/>
        <v>21.282051282051285</v>
      </c>
      <c r="K160" s="66">
        <v>45695</v>
      </c>
      <c r="L160" s="67">
        <v>45777</v>
      </c>
      <c r="M160" s="68">
        <f t="shared" si="12"/>
        <v>83</v>
      </c>
      <c r="N160" s="69">
        <f>IFERROR(INDEX(Tabela3[ID_Responsavel], MATCH(O160,Tabela3[[Responsáveis ]], 0)), "Não encontrado")</f>
        <v>4</v>
      </c>
      <c r="O160" s="58" t="s">
        <v>124</v>
      </c>
      <c r="P160" s="59" t="s">
        <v>48</v>
      </c>
      <c r="Q160" s="60" t="s">
        <v>198</v>
      </c>
    </row>
    <row r="161" spans="1:17" ht="16.5" hidden="1">
      <c r="A161" s="113">
        <f>IFERROR(INDEX(Tabela2[ID_Area], MATCH(B161,Tabela2[Area], 0)), "Não encontrado")</f>
        <v>1002</v>
      </c>
      <c r="B161" s="47" t="s">
        <v>79</v>
      </c>
      <c r="C161" s="48" t="s">
        <v>259</v>
      </c>
      <c r="D161" s="62">
        <f>IFERROR(INDEX(Metas!$D$2:$D$104, MATCH(E161,Metas!$E$2:$E$104, 0)), "Não encontrado")</f>
        <v>160</v>
      </c>
      <c r="E161" s="63" t="s">
        <v>123</v>
      </c>
      <c r="F161" s="63" t="s">
        <v>380</v>
      </c>
      <c r="G161" s="62" t="str">
        <f t="shared" ca="1" si="11"/>
        <v>Concluído</v>
      </c>
      <c r="H161" s="64">
        <v>45891</v>
      </c>
      <c r="I161" s="65">
        <v>1</v>
      </c>
      <c r="J161" s="53">
        <f t="shared" si="10"/>
        <v>58.717948717948715</v>
      </c>
      <c r="K161" s="66">
        <v>45778</v>
      </c>
      <c r="L161" s="67">
        <v>46006</v>
      </c>
      <c r="M161" s="68">
        <f t="shared" si="12"/>
        <v>229</v>
      </c>
      <c r="N161" s="69">
        <f>IFERROR(INDEX(Tabela3[ID_Responsavel], MATCH(O161,Tabela3[[Responsáveis ]], 0)), "Não encontrado")</f>
        <v>4</v>
      </c>
      <c r="O161" s="58" t="s">
        <v>124</v>
      </c>
      <c r="P161" s="59" t="s">
        <v>48</v>
      </c>
      <c r="Q161" s="60" t="s">
        <v>381</v>
      </c>
    </row>
    <row r="162" spans="1:17" ht="30.75" hidden="1">
      <c r="A162" s="117">
        <f>IFERROR(INDEX(Tabela2[ID_Area], MATCH(B162,Tabela2[Area], 0)), "Não encontrado")</f>
        <v>1002</v>
      </c>
      <c r="B162" s="47" t="s">
        <v>79</v>
      </c>
      <c r="C162" s="48" t="s">
        <v>259</v>
      </c>
      <c r="D162" s="62">
        <f>IFERROR(INDEX(Metas!$D$2:$D$104, MATCH(E162,Metas!$E$2:$E$104, 0)), "Não encontrado")</f>
        <v>164</v>
      </c>
      <c r="E162" s="63" t="s">
        <v>130</v>
      </c>
      <c r="F162" s="63" t="s">
        <v>382</v>
      </c>
      <c r="G162" s="62" t="str">
        <f t="shared" ca="1" si="11"/>
        <v>Concluído</v>
      </c>
      <c r="H162" s="95">
        <v>45810</v>
      </c>
      <c r="I162" s="65">
        <v>1</v>
      </c>
      <c r="J162" s="53">
        <f t="shared" si="10"/>
        <v>99.388235294117649</v>
      </c>
      <c r="K162" s="66">
        <v>45670</v>
      </c>
      <c r="L162" s="67">
        <v>46021</v>
      </c>
      <c r="M162" s="68">
        <f t="shared" si="12"/>
        <v>352</v>
      </c>
      <c r="N162" s="69">
        <f>IFERROR(INDEX(Tabela3[ID_Responsavel], MATCH(O162,Tabela3[[Responsáveis ]], 0)), "Não encontrado")</f>
        <v>6</v>
      </c>
      <c r="O162" s="58" t="s">
        <v>131</v>
      </c>
      <c r="P162" s="59" t="s">
        <v>48</v>
      </c>
      <c r="Q162" s="60" t="s">
        <v>383</v>
      </c>
    </row>
    <row r="163" spans="1:17" ht="30.75" hidden="1">
      <c r="A163" s="113">
        <f>IFERROR(INDEX(Tabela2[ID_Area], MATCH(B163,Tabela2[Area], 0)), "Não encontrado")</f>
        <v>1002</v>
      </c>
      <c r="B163" s="47" t="s">
        <v>79</v>
      </c>
      <c r="C163" s="48" t="s">
        <v>259</v>
      </c>
      <c r="D163" s="62">
        <f>IFERROR(INDEX(Metas!$D$2:$D$104, MATCH(E163,Metas!$E$2:$E$104, 0)), "Não encontrado")</f>
        <v>164</v>
      </c>
      <c r="E163" s="63" t="s">
        <v>130</v>
      </c>
      <c r="F163" s="63" t="s">
        <v>384</v>
      </c>
      <c r="G163" s="62" t="str">
        <f t="shared" ca="1" si="11"/>
        <v>Concluído</v>
      </c>
      <c r="H163" s="95">
        <v>45845</v>
      </c>
      <c r="I163" s="65">
        <v>1</v>
      </c>
      <c r="J163" s="53">
        <f t="shared" si="10"/>
        <v>8.7529411764705873</v>
      </c>
      <c r="K163" s="66">
        <v>45838</v>
      </c>
      <c r="L163" s="67">
        <v>45868</v>
      </c>
      <c r="M163" s="68">
        <f t="shared" si="12"/>
        <v>31</v>
      </c>
      <c r="N163" s="69">
        <f>IFERROR(INDEX(Tabela3[ID_Responsavel], MATCH(O163,Tabela3[[Responsáveis ]], 0)), "Não encontrado")</f>
        <v>6</v>
      </c>
      <c r="O163" s="58" t="s">
        <v>131</v>
      </c>
      <c r="P163" s="59" t="s">
        <v>19</v>
      </c>
      <c r="Q163" s="60" t="s">
        <v>385</v>
      </c>
    </row>
    <row r="164" spans="1:17" ht="30.75" hidden="1">
      <c r="A164" s="117">
        <f>IFERROR(INDEX(Tabela2[ID_Area], MATCH(B164,Tabela2[Area], 0)), "Não encontrado")</f>
        <v>1002</v>
      </c>
      <c r="B164" s="47" t="s">
        <v>79</v>
      </c>
      <c r="C164" s="48" t="s">
        <v>259</v>
      </c>
      <c r="D164" s="62">
        <f>IFERROR(INDEX(Metas!$D$2:$D$104, MATCH(E164,Metas!$E$2:$E$104, 0)), "Não encontrado")</f>
        <v>164</v>
      </c>
      <c r="E164" s="63" t="s">
        <v>130</v>
      </c>
      <c r="F164" s="63" t="s">
        <v>386</v>
      </c>
      <c r="G164" s="62" t="str">
        <f t="shared" ca="1" si="11"/>
        <v>Concluído</v>
      </c>
      <c r="H164" s="95">
        <v>45897</v>
      </c>
      <c r="I164" s="65">
        <v>1</v>
      </c>
      <c r="J164" s="53">
        <f t="shared" si="10"/>
        <v>11.858823529411763</v>
      </c>
      <c r="K164" s="66">
        <v>45899</v>
      </c>
      <c r="L164" s="67">
        <v>45940</v>
      </c>
      <c r="M164" s="68">
        <f t="shared" si="12"/>
        <v>42</v>
      </c>
      <c r="N164" s="69">
        <f>IFERROR(INDEX(Tabela3[ID_Responsavel], MATCH(O164,Tabela3[[Responsáveis ]], 0)), "Não encontrado")</f>
        <v>6</v>
      </c>
      <c r="O164" s="58" t="s">
        <v>131</v>
      </c>
      <c r="P164" s="59" t="s">
        <v>48</v>
      </c>
      <c r="Q164" s="60" t="s">
        <v>387</v>
      </c>
    </row>
    <row r="165" spans="1:17" ht="16.5" hidden="1">
      <c r="A165" s="113">
        <f>IFERROR(INDEX(Tabela2[ID_Area], MATCH(B165,Tabela2[Area], 0)), "Não encontrado")</f>
        <v>1002</v>
      </c>
      <c r="B165" s="47" t="s">
        <v>79</v>
      </c>
      <c r="C165" s="48" t="s">
        <v>259</v>
      </c>
      <c r="D165" s="62">
        <f>IFERROR(INDEX(Metas!$D$2:$D$104, MATCH(E165,Metas!$E$2:$E$104, 0)), "Não encontrado")</f>
        <v>166</v>
      </c>
      <c r="E165" s="63" t="s">
        <v>135</v>
      </c>
      <c r="F165" s="63" t="s">
        <v>388</v>
      </c>
      <c r="G165" s="62" t="str">
        <f t="shared" ca="1" si="11"/>
        <v>Concluído</v>
      </c>
      <c r="H165" s="70" t="s">
        <v>389</v>
      </c>
      <c r="I165" s="65">
        <v>1</v>
      </c>
      <c r="J165" s="53">
        <f t="shared" si="10"/>
        <v>23.091787439613526</v>
      </c>
      <c r="K165" s="66">
        <v>45660</v>
      </c>
      <c r="L165" s="67">
        <v>45898</v>
      </c>
      <c r="M165" s="68">
        <f t="shared" si="12"/>
        <v>239</v>
      </c>
      <c r="N165" s="69">
        <f>IFERROR(INDEX(Tabela3[ID_Responsavel], MATCH(O165,Tabela3[[Responsáveis ]], 0)), "Não encontrado")</f>
        <v>9</v>
      </c>
      <c r="O165" s="58" t="s">
        <v>136</v>
      </c>
      <c r="P165" s="59" t="s">
        <v>48</v>
      </c>
      <c r="Q165" s="60" t="s">
        <v>390</v>
      </c>
    </row>
    <row r="166" spans="1:17" ht="16.5" hidden="1">
      <c r="A166" s="117">
        <f>IFERROR(INDEX(Tabela2[ID_Area], MATCH(B166,Tabela2[Area], 0)), "Não encontrado")</f>
        <v>1002</v>
      </c>
      <c r="B166" s="47" t="s">
        <v>79</v>
      </c>
      <c r="C166" s="48" t="s">
        <v>259</v>
      </c>
      <c r="D166" s="62">
        <f>IFERROR(INDEX(Metas!$D$2:$D$104, MATCH(E166,Metas!$E$2:$E$104, 0)), "Não encontrado")</f>
        <v>166</v>
      </c>
      <c r="E166" s="63" t="s">
        <v>135</v>
      </c>
      <c r="F166" s="63" t="s">
        <v>391</v>
      </c>
      <c r="G166" s="62" t="str">
        <f t="shared" ca="1" si="11"/>
        <v>Concluído</v>
      </c>
      <c r="H166" s="64">
        <v>46010</v>
      </c>
      <c r="I166" s="65">
        <v>1</v>
      </c>
      <c r="J166" s="53">
        <f t="shared" si="10"/>
        <v>30.24154589371981</v>
      </c>
      <c r="K166" s="66">
        <v>45709</v>
      </c>
      <c r="L166" s="67">
        <v>46021</v>
      </c>
      <c r="M166" s="68">
        <f t="shared" si="12"/>
        <v>313</v>
      </c>
      <c r="N166" s="69">
        <f>IFERROR(INDEX(Tabela3[ID_Responsavel], MATCH(O166,Tabela3[[Responsáveis ]], 0)), "Não encontrado")</f>
        <v>9</v>
      </c>
      <c r="O166" s="58" t="s">
        <v>136</v>
      </c>
      <c r="P166" s="59" t="s">
        <v>48</v>
      </c>
      <c r="Q166" s="60" t="s">
        <v>392</v>
      </c>
    </row>
    <row r="167" spans="1:17" ht="16.5" hidden="1">
      <c r="A167" s="113">
        <f>IFERROR(INDEX(Tabela2[ID_Area], MATCH(B167,Tabela2[Area], 0)), "Não encontrado")</f>
        <v>1002</v>
      </c>
      <c r="B167" s="47" t="s">
        <v>79</v>
      </c>
      <c r="C167" s="48" t="s">
        <v>259</v>
      </c>
      <c r="D167" s="62">
        <f>IFERROR(INDEX(Metas!$D$2:$D$104, MATCH(E167,Metas!$E$2:$E$104, 0)), "Não encontrado")</f>
        <v>166</v>
      </c>
      <c r="E167" s="63" t="s">
        <v>135</v>
      </c>
      <c r="F167" s="63" t="s">
        <v>393</v>
      </c>
      <c r="G167" s="62" t="str">
        <f t="shared" ca="1" si="11"/>
        <v>Concluído</v>
      </c>
      <c r="H167" s="64">
        <v>46010</v>
      </c>
      <c r="I167" s="65">
        <v>1</v>
      </c>
      <c r="J167" s="53">
        <f t="shared" si="10"/>
        <v>33.333333333333336</v>
      </c>
      <c r="K167" s="66">
        <v>45677</v>
      </c>
      <c r="L167" s="67">
        <v>46021</v>
      </c>
      <c r="M167" s="68">
        <f t="shared" si="12"/>
        <v>345</v>
      </c>
      <c r="N167" s="69">
        <f>IFERROR(INDEX(Tabela3[ID_Responsavel], MATCH(O167,Tabela3[[Responsáveis ]], 0)), "Não encontrado")</f>
        <v>9</v>
      </c>
      <c r="O167" s="58" t="s">
        <v>136</v>
      </c>
      <c r="P167" s="59" t="s">
        <v>48</v>
      </c>
      <c r="Q167" s="60" t="s">
        <v>394</v>
      </c>
    </row>
    <row r="168" spans="1:17" ht="16.5" hidden="1">
      <c r="A168" s="117">
        <f>IFERROR(INDEX(Tabela2[ID_Area], MATCH(B168,Tabela2[Area], 0)), "Não encontrado")</f>
        <v>1002</v>
      </c>
      <c r="B168" s="47" t="s">
        <v>79</v>
      </c>
      <c r="C168" s="48" t="s">
        <v>259</v>
      </c>
      <c r="D168" s="62">
        <f>IFERROR(INDEX(Metas!$D$2:$D$104, MATCH(E168,Metas!$E$2:$E$104, 0)), "Não encontrado")</f>
        <v>166</v>
      </c>
      <c r="E168" s="63" t="s">
        <v>135</v>
      </c>
      <c r="F168" s="63" t="s">
        <v>395</v>
      </c>
      <c r="G168" s="62" t="str">
        <f t="shared" ca="1" si="11"/>
        <v>Concluído</v>
      </c>
      <c r="H168" s="64">
        <v>46010</v>
      </c>
      <c r="I168" s="65">
        <v>1</v>
      </c>
      <c r="J168" s="53">
        <f t="shared" si="10"/>
        <v>33.333333333333336</v>
      </c>
      <c r="K168" s="66">
        <v>45677</v>
      </c>
      <c r="L168" s="67">
        <v>46021</v>
      </c>
      <c r="M168" s="68">
        <f t="shared" si="12"/>
        <v>345</v>
      </c>
      <c r="N168" s="69">
        <f>IFERROR(INDEX(Tabela3[ID_Responsavel], MATCH(O168,Tabela3[[Responsáveis ]], 0)), "Não encontrado")</f>
        <v>9</v>
      </c>
      <c r="O168" s="58" t="s">
        <v>136</v>
      </c>
      <c r="P168" s="59" t="s">
        <v>48</v>
      </c>
      <c r="Q168" s="60" t="s">
        <v>396</v>
      </c>
    </row>
    <row r="169" spans="1:17" ht="16.5" hidden="1">
      <c r="A169" s="113">
        <f>IFERROR(INDEX(Tabela2[ID_Area], MATCH(B169,Tabela2[Area], 0)), "Não encontrado")</f>
        <v>1002</v>
      </c>
      <c r="B169" s="47" t="s">
        <v>79</v>
      </c>
      <c r="C169" s="48" t="s">
        <v>55</v>
      </c>
      <c r="D169" s="62">
        <f>IFERROR(INDEX(Metas!$D$2:$D$104, MATCH(E169,Metas!$E$2:$E$104, 0)), "Não encontrado")</f>
        <v>158</v>
      </c>
      <c r="E169" s="63" t="s">
        <v>118</v>
      </c>
      <c r="F169" s="63" t="s">
        <v>397</v>
      </c>
      <c r="G169" s="62" t="str">
        <f t="shared" ca="1" si="11"/>
        <v>Concluído</v>
      </c>
      <c r="H169" s="167">
        <v>45877</v>
      </c>
      <c r="I169" s="73">
        <v>1</v>
      </c>
      <c r="J169" s="53">
        <f t="shared" si="10"/>
        <v>32.514970059880241</v>
      </c>
      <c r="K169" s="66">
        <v>45660</v>
      </c>
      <c r="L169" s="67">
        <v>46021</v>
      </c>
      <c r="M169" s="68">
        <f t="shared" si="12"/>
        <v>362</v>
      </c>
      <c r="N169" s="69">
        <f>IFERROR(INDEX(Tabela3[ID_Responsavel], MATCH(O169,Tabela3[[Responsáveis ]], 0)), "Não encontrado")</f>
        <v>13</v>
      </c>
      <c r="O169" s="58" t="s">
        <v>77</v>
      </c>
      <c r="P169" s="59" t="s">
        <v>31</v>
      </c>
      <c r="Q169" s="60" t="s">
        <v>398</v>
      </c>
    </row>
    <row r="170" spans="1:17" ht="16.5" hidden="1">
      <c r="A170" s="117">
        <f>IFERROR(INDEX(Tabela2[ID_Area], MATCH(B170,Tabela2[Area], 0)), "Não encontrado")</f>
        <v>1002</v>
      </c>
      <c r="B170" s="47" t="s">
        <v>79</v>
      </c>
      <c r="C170" s="48" t="s">
        <v>55</v>
      </c>
      <c r="D170" s="62">
        <f>IFERROR(INDEX(Metas!$D$2:$D$104, MATCH(E170,Metas!$E$2:$E$104, 0)), "Não encontrado")</f>
        <v>158</v>
      </c>
      <c r="E170" s="63" t="s">
        <v>118</v>
      </c>
      <c r="F170" s="63" t="s">
        <v>399</v>
      </c>
      <c r="G170" s="62" t="str">
        <f t="shared" ca="1" si="11"/>
        <v>Concluído</v>
      </c>
      <c r="H170" s="64">
        <v>45877</v>
      </c>
      <c r="I170" s="73">
        <v>1</v>
      </c>
      <c r="J170" s="53">
        <f t="shared" si="10"/>
        <v>31.437125748502993</v>
      </c>
      <c r="K170" s="66">
        <v>45672</v>
      </c>
      <c r="L170" s="67">
        <v>46021</v>
      </c>
      <c r="M170" s="68">
        <f t="shared" si="12"/>
        <v>350</v>
      </c>
      <c r="N170" s="69">
        <f>IFERROR(INDEX(Tabela3[ID_Responsavel], MATCH(O170,Tabela3[[Responsáveis ]], 0)), "Não encontrado")</f>
        <v>13</v>
      </c>
      <c r="O170" s="58" t="s">
        <v>77</v>
      </c>
      <c r="P170" s="59" t="s">
        <v>31</v>
      </c>
      <c r="Q170" s="60" t="s">
        <v>119</v>
      </c>
    </row>
    <row r="171" spans="1:17" ht="16.5" hidden="1">
      <c r="A171" s="113">
        <f>IFERROR(INDEX(Tabela2[ID_Area], MATCH(B171,Tabela2[Area], 0)), "Não encontrado")</f>
        <v>1002</v>
      </c>
      <c r="B171" s="47" t="s">
        <v>79</v>
      </c>
      <c r="C171" s="48" t="s">
        <v>55</v>
      </c>
      <c r="D171" s="62">
        <f>IFERROR(INDEX(Metas!$D$2:$D$104, MATCH(E171,Metas!$E$2:$E$104, 0)), "Não encontrado")</f>
        <v>158</v>
      </c>
      <c r="E171" s="63" t="s">
        <v>118</v>
      </c>
      <c r="F171" s="97" t="s">
        <v>400</v>
      </c>
      <c r="G171" s="62" t="str">
        <f t="shared" ca="1" si="11"/>
        <v>Concluído</v>
      </c>
      <c r="H171" s="64">
        <v>45877</v>
      </c>
      <c r="I171" s="73">
        <v>1</v>
      </c>
      <c r="J171" s="53">
        <f t="shared" si="10"/>
        <v>29.910179640718564</v>
      </c>
      <c r="K171" s="66">
        <v>45689</v>
      </c>
      <c r="L171" s="67">
        <v>46021</v>
      </c>
      <c r="M171" s="68">
        <f t="shared" si="12"/>
        <v>333</v>
      </c>
      <c r="N171" s="69">
        <f>IFERROR(INDEX(Tabela3[ID_Responsavel], MATCH(O171,Tabela3[[Responsáveis ]], 0)), "Não encontrado")</f>
        <v>13</v>
      </c>
      <c r="O171" s="58" t="s">
        <v>77</v>
      </c>
      <c r="P171" s="59" t="s">
        <v>31</v>
      </c>
      <c r="Q171" s="60" t="s">
        <v>401</v>
      </c>
    </row>
    <row r="172" spans="1:17" ht="16.5" hidden="1">
      <c r="A172" s="117">
        <f>IFERROR(INDEX(Tabela2[ID_Area], MATCH(B172,Tabela2[Area], 0)), "Não encontrado")</f>
        <v>1002</v>
      </c>
      <c r="B172" s="47" t="s">
        <v>79</v>
      </c>
      <c r="C172" s="48" t="s">
        <v>55</v>
      </c>
      <c r="D172" s="62">
        <f>IFERROR(INDEX(Metas!$D$2:$D$104, MATCH(E172,Metas!$E$2:$E$104, 0)), "Não encontrado")</f>
        <v>158</v>
      </c>
      <c r="E172" s="63" t="s">
        <v>118</v>
      </c>
      <c r="F172" s="63" t="s">
        <v>402</v>
      </c>
      <c r="G172" s="62" t="str">
        <f t="shared" ca="1" si="11"/>
        <v>Concluído</v>
      </c>
      <c r="H172" s="64">
        <v>45877</v>
      </c>
      <c r="I172" s="73">
        <v>1</v>
      </c>
      <c r="J172" s="53">
        <f t="shared" si="10"/>
        <v>26.137724550898206</v>
      </c>
      <c r="K172" s="66">
        <v>45731</v>
      </c>
      <c r="L172" s="67">
        <v>46021</v>
      </c>
      <c r="M172" s="68">
        <f t="shared" si="12"/>
        <v>291</v>
      </c>
      <c r="N172" s="69">
        <f>IFERROR(INDEX(Tabela3[ID_Responsavel], MATCH(O172,Tabela3[[Responsáveis ]], 0)), "Não encontrado")</f>
        <v>13</v>
      </c>
      <c r="O172" s="58" t="s">
        <v>77</v>
      </c>
      <c r="P172" s="59" t="s">
        <v>31</v>
      </c>
      <c r="Q172" s="60" t="s">
        <v>403</v>
      </c>
    </row>
    <row r="173" spans="1:17" ht="16.5" hidden="1">
      <c r="A173" s="117">
        <f>IFERROR(INDEX(Tabela2[ID_Area], MATCH(B173,Tabela2[Area], 0)), "Não encontrado")</f>
        <v>1002</v>
      </c>
      <c r="B173" s="47" t="s">
        <v>79</v>
      </c>
      <c r="C173" s="48" t="s">
        <v>404</v>
      </c>
      <c r="D173" s="62">
        <f>IFERROR(INDEX(Metas!$D$2:$D$104, MATCH(E173,Metas!$E$2:$E$104, 0)), "Não encontrado")</f>
        <v>161</v>
      </c>
      <c r="E173" s="63" t="s">
        <v>126</v>
      </c>
      <c r="F173" s="63" t="s">
        <v>405</v>
      </c>
      <c r="G173" s="62" t="str">
        <f t="shared" ca="1" si="11"/>
        <v>Concluído</v>
      </c>
      <c r="H173" s="64">
        <v>45687</v>
      </c>
      <c r="I173" s="65">
        <v>1</v>
      </c>
      <c r="J173" s="53">
        <f t="shared" si="10"/>
        <v>9.8611111111111107</v>
      </c>
      <c r="K173" s="66">
        <v>45660</v>
      </c>
      <c r="L173" s="67">
        <v>45730</v>
      </c>
      <c r="M173" s="68">
        <f t="shared" si="12"/>
        <v>71</v>
      </c>
      <c r="N173" s="69">
        <f>IFERROR(INDEX(Tabela3[ID_Responsavel], MATCH(O173,Tabela3[[Responsáveis ]], 0)), "Não encontrado")</f>
        <v>4</v>
      </c>
      <c r="O173" s="58" t="s">
        <v>124</v>
      </c>
      <c r="P173" s="59" t="s">
        <v>48</v>
      </c>
      <c r="Q173" s="60" t="s">
        <v>198</v>
      </c>
    </row>
    <row r="174" spans="1:17" ht="16.5" hidden="1">
      <c r="A174" s="113">
        <f>IFERROR(INDEX(Tabela2[ID_Area], MATCH(B174,Tabela2[Area], 0)), "Não encontrado")</f>
        <v>1002</v>
      </c>
      <c r="B174" s="47" t="s">
        <v>79</v>
      </c>
      <c r="C174" s="48" t="s">
        <v>404</v>
      </c>
      <c r="D174" s="62">
        <f>IFERROR(INDEX(Metas!$D$2:$D$104, MATCH(E174,Metas!$E$2:$E$104, 0)), "Não encontrado")</f>
        <v>161</v>
      </c>
      <c r="E174" s="63" t="s">
        <v>126</v>
      </c>
      <c r="F174" s="63" t="s">
        <v>406</v>
      </c>
      <c r="G174" s="62" t="str">
        <f t="shared" ca="1" si="11"/>
        <v>Concluído</v>
      </c>
      <c r="H174" s="64">
        <v>45687</v>
      </c>
      <c r="I174" s="65">
        <v>1</v>
      </c>
      <c r="J174" s="53">
        <f t="shared" si="10"/>
        <v>8.6111111111111107</v>
      </c>
      <c r="K174" s="66">
        <v>45733</v>
      </c>
      <c r="L174" s="67">
        <v>45794</v>
      </c>
      <c r="M174" s="68">
        <f t="shared" si="12"/>
        <v>62</v>
      </c>
      <c r="N174" s="69">
        <f>IFERROR(INDEX(Tabela3[ID_Responsavel], MATCH(O174,Tabela3[[Responsáveis ]], 0)), "Não encontrado")</f>
        <v>4</v>
      </c>
      <c r="O174" s="58" t="s">
        <v>124</v>
      </c>
      <c r="P174" s="59" t="s">
        <v>48</v>
      </c>
      <c r="Q174" s="60" t="s">
        <v>198</v>
      </c>
    </row>
    <row r="175" spans="1:17" ht="16.5" hidden="1">
      <c r="A175" s="117">
        <f>IFERROR(INDEX(Tabela2[ID_Area], MATCH(B175,Tabela2[Area], 0)), "Não encontrado")</f>
        <v>1002</v>
      </c>
      <c r="B175" s="47" t="s">
        <v>79</v>
      </c>
      <c r="C175" s="48" t="s">
        <v>404</v>
      </c>
      <c r="D175" s="62">
        <f>IFERROR(INDEX(Metas!$D$2:$D$104, MATCH(E175,Metas!$E$2:$E$104, 0)), "Não encontrado")</f>
        <v>161</v>
      </c>
      <c r="E175" s="63" t="s">
        <v>126</v>
      </c>
      <c r="F175" s="63" t="s">
        <v>407</v>
      </c>
      <c r="G175" s="62" t="str">
        <f t="shared" ca="1" si="11"/>
        <v>Concluído</v>
      </c>
      <c r="H175" s="70" t="s">
        <v>408</v>
      </c>
      <c r="I175" s="65">
        <v>1</v>
      </c>
      <c r="J175" s="53">
        <f t="shared" si="10"/>
        <v>27.638888888888889</v>
      </c>
      <c r="K175" s="66">
        <v>45823</v>
      </c>
      <c r="L175" s="67">
        <v>46021</v>
      </c>
      <c r="M175" s="68">
        <f t="shared" si="12"/>
        <v>199</v>
      </c>
      <c r="N175" s="69">
        <f>IFERROR(INDEX(Tabela3[ID_Responsavel], MATCH(O175,Tabela3[[Responsáveis ]], 0)), "Não encontrado")</f>
        <v>4</v>
      </c>
      <c r="O175" s="58" t="s">
        <v>124</v>
      </c>
      <c r="P175" s="59" t="s">
        <v>48</v>
      </c>
      <c r="Q175" s="60" t="s">
        <v>198</v>
      </c>
    </row>
    <row r="176" spans="1:17" ht="16.5" hidden="1">
      <c r="A176" s="113">
        <f>IFERROR(INDEX(Tabela2[ID_Area], MATCH(B176,Tabela2[Area], 0)), "Não encontrado")</f>
        <v>1002</v>
      </c>
      <c r="B176" s="47" t="s">
        <v>79</v>
      </c>
      <c r="C176" s="48" t="s">
        <v>404</v>
      </c>
      <c r="D176" s="62">
        <f>IFERROR(INDEX(Metas!$D$2:$D$104, MATCH(E176,Metas!$E$2:$E$104, 0)), "Não encontrado")</f>
        <v>161</v>
      </c>
      <c r="E176" s="63" t="s">
        <v>126</v>
      </c>
      <c r="F176" s="63" t="s">
        <v>409</v>
      </c>
      <c r="G176" s="62" t="str">
        <f t="shared" ca="1" si="11"/>
        <v>Concluído</v>
      </c>
      <c r="H176" s="64">
        <v>46009</v>
      </c>
      <c r="I176" s="65">
        <v>1</v>
      </c>
      <c r="J176" s="53">
        <f t="shared" si="10"/>
        <v>27.638888888888889</v>
      </c>
      <c r="K176" s="66">
        <v>45823</v>
      </c>
      <c r="L176" s="67">
        <v>46021</v>
      </c>
      <c r="M176" s="68">
        <f t="shared" si="12"/>
        <v>199</v>
      </c>
      <c r="N176" s="69">
        <f>IFERROR(INDEX(Tabela3[ID_Responsavel], MATCH(O176,Tabela3[[Responsáveis ]], 0)), "Não encontrado")</f>
        <v>4</v>
      </c>
      <c r="O176" s="58" t="s">
        <v>124</v>
      </c>
      <c r="P176" s="59" t="s">
        <v>48</v>
      </c>
      <c r="Q176" s="60" t="s">
        <v>198</v>
      </c>
    </row>
    <row r="177" spans="1:17" ht="16.5" hidden="1">
      <c r="A177" s="117">
        <f>IFERROR(INDEX(Tabela2[ID_Area], MATCH(B177,Tabela2[Area], 0)), "Não encontrado")</f>
        <v>1002</v>
      </c>
      <c r="B177" s="47" t="s">
        <v>79</v>
      </c>
      <c r="C177" s="48" t="s">
        <v>404</v>
      </c>
      <c r="D177" s="62">
        <f>IFERROR(INDEX(Metas!$D$2:$D$104, MATCH(E177,Metas!$E$2:$E$104, 0)), "Não encontrado")</f>
        <v>161</v>
      </c>
      <c r="E177" s="63" t="s">
        <v>126</v>
      </c>
      <c r="F177" s="63" t="s">
        <v>410</v>
      </c>
      <c r="G177" s="62" t="str">
        <f t="shared" ca="1" si="11"/>
        <v>Concluído</v>
      </c>
      <c r="H177" s="64">
        <v>46009</v>
      </c>
      <c r="I177" s="65">
        <v>1</v>
      </c>
      <c r="J177" s="53">
        <f t="shared" si="10"/>
        <v>46.25</v>
      </c>
      <c r="K177" s="66">
        <v>45689</v>
      </c>
      <c r="L177" s="67">
        <v>46021</v>
      </c>
      <c r="M177" s="68">
        <f t="shared" si="12"/>
        <v>333</v>
      </c>
      <c r="N177" s="69">
        <f>IFERROR(INDEX(Tabela3[ID_Responsavel], MATCH(O177,Tabela3[[Responsáveis ]], 0)), "Não encontrado")</f>
        <v>4</v>
      </c>
      <c r="O177" s="58" t="s">
        <v>124</v>
      </c>
      <c r="P177" s="59" t="s">
        <v>48</v>
      </c>
      <c r="Q177" s="60" t="s">
        <v>198</v>
      </c>
    </row>
    <row r="178" spans="1:17" ht="16.5" hidden="1">
      <c r="A178" s="113">
        <f>IFERROR(INDEX(Tabela2[ID_Area], MATCH(B178,Tabela2[Area], 0)), "Não encontrado")</f>
        <v>1002</v>
      </c>
      <c r="B178" s="47" t="s">
        <v>79</v>
      </c>
      <c r="C178" s="48" t="s">
        <v>128</v>
      </c>
      <c r="D178" s="62">
        <f>IFERROR(INDEX(Metas!$D$2:$D$104, MATCH(E178,Metas!$E$2:$E$104, 0)), "Não encontrado")</f>
        <v>163</v>
      </c>
      <c r="E178" s="63" t="s">
        <v>129</v>
      </c>
      <c r="F178" s="63" t="s">
        <v>411</v>
      </c>
      <c r="G178" s="62" t="str">
        <f t="shared" ca="1" si="11"/>
        <v>Concluído</v>
      </c>
      <c r="H178" s="70" t="s">
        <v>412</v>
      </c>
      <c r="I178" s="65">
        <v>1</v>
      </c>
      <c r="J178" s="53">
        <f t="shared" si="10"/>
        <v>15.238095238095237</v>
      </c>
      <c r="K178" s="66">
        <v>45688</v>
      </c>
      <c r="L178" s="67">
        <v>45695</v>
      </c>
      <c r="M178" s="68">
        <f t="shared" si="12"/>
        <v>8</v>
      </c>
      <c r="N178" s="69">
        <f>IFERROR(INDEX(Tabela3[ID_Responsavel], MATCH(O178,Tabela3[[Responsáveis ]], 0)), "Não encontrado")</f>
        <v>4</v>
      </c>
      <c r="O178" s="58" t="s">
        <v>124</v>
      </c>
      <c r="P178" s="59" t="s">
        <v>48</v>
      </c>
      <c r="Q178" s="60" t="s">
        <v>413</v>
      </c>
    </row>
    <row r="179" spans="1:17" ht="16.5" hidden="1">
      <c r="A179" s="117">
        <f>IFERROR(INDEX(Tabela2[ID_Area], MATCH(B179,Tabela2[Area], 0)), "Não encontrado")</f>
        <v>1002</v>
      </c>
      <c r="B179" s="47" t="s">
        <v>79</v>
      </c>
      <c r="C179" s="48" t="s">
        <v>128</v>
      </c>
      <c r="D179" s="62">
        <f>IFERROR(INDEX(Metas!$D$2:$D$104, MATCH(E179,Metas!$E$2:$E$104, 0)), "Não encontrado")</f>
        <v>163</v>
      </c>
      <c r="E179" s="63" t="s">
        <v>129</v>
      </c>
      <c r="F179" s="63" t="s">
        <v>414</v>
      </c>
      <c r="G179" s="62" t="str">
        <f t="shared" ca="1" si="11"/>
        <v>Concluído</v>
      </c>
      <c r="H179" s="70" t="s">
        <v>415</v>
      </c>
      <c r="I179" s="65">
        <v>1</v>
      </c>
      <c r="J179" s="53">
        <f t="shared" si="10"/>
        <v>93.333333333333329</v>
      </c>
      <c r="K179" s="66">
        <v>45698</v>
      </c>
      <c r="L179" s="67">
        <v>45746</v>
      </c>
      <c r="M179" s="68">
        <f t="shared" si="12"/>
        <v>49</v>
      </c>
      <c r="N179" s="69">
        <f>IFERROR(INDEX(Tabela3[ID_Responsavel], MATCH(O179,Tabela3[[Responsáveis ]], 0)), "Não encontrado")</f>
        <v>4</v>
      </c>
      <c r="O179" s="58" t="s">
        <v>124</v>
      </c>
      <c r="P179" s="59" t="s">
        <v>48</v>
      </c>
      <c r="Q179" s="60" t="s">
        <v>198</v>
      </c>
    </row>
    <row r="180" spans="1:17" ht="16.5" hidden="1">
      <c r="A180" s="113">
        <f>IFERROR(INDEX(Tabela2[ID_Area], MATCH(B180,Tabela2[Area], 0)), "Não encontrado")</f>
        <v>1002</v>
      </c>
      <c r="B180" s="47" t="s">
        <v>79</v>
      </c>
      <c r="C180" s="48" t="s">
        <v>128</v>
      </c>
      <c r="D180" s="62">
        <f>IFERROR(INDEX(Metas!$D$2:$D$104, MATCH(E180,Metas!$E$2:$E$104, 0)), "Não encontrado")</f>
        <v>163</v>
      </c>
      <c r="E180" s="63" t="s">
        <v>129</v>
      </c>
      <c r="F180" s="63" t="s">
        <v>416</v>
      </c>
      <c r="G180" s="62" t="str">
        <f t="shared" ca="1" si="11"/>
        <v>Concluído</v>
      </c>
      <c r="H180" s="70" t="s">
        <v>415</v>
      </c>
      <c r="I180" s="65">
        <v>1</v>
      </c>
      <c r="J180" s="53">
        <f t="shared" si="10"/>
        <v>11.428571428571427</v>
      </c>
      <c r="K180" s="66">
        <v>45746</v>
      </c>
      <c r="L180" s="67">
        <v>45751</v>
      </c>
      <c r="M180" s="68">
        <f t="shared" si="12"/>
        <v>6</v>
      </c>
      <c r="N180" s="69">
        <f>IFERROR(INDEX(Tabela3[ID_Responsavel], MATCH(O180,Tabela3[[Responsáveis ]], 0)), "Não encontrado")</f>
        <v>4</v>
      </c>
      <c r="O180" s="58" t="s">
        <v>124</v>
      </c>
      <c r="P180" s="59" t="s">
        <v>48</v>
      </c>
      <c r="Q180" s="60" t="s">
        <v>198</v>
      </c>
    </row>
    <row r="181" spans="1:17" ht="16.5" hidden="1">
      <c r="A181" s="117">
        <f>IFERROR(INDEX(Tabela2[ID_Area], MATCH(B181,Tabela2[Area], 0)), "Não encontrado")</f>
        <v>1002</v>
      </c>
      <c r="B181" s="47" t="s">
        <v>79</v>
      </c>
      <c r="C181" s="48" t="s">
        <v>120</v>
      </c>
      <c r="D181" s="62">
        <f>IFERROR(INDEX(Metas!$D$2:$D$104, MATCH(E181,Metas!$E$2:$E$104, 0)), "Não encontrado")</f>
        <v>165</v>
      </c>
      <c r="E181" s="63" t="s">
        <v>133</v>
      </c>
      <c r="F181" s="63" t="s">
        <v>417</v>
      </c>
      <c r="G181" s="62" t="str">
        <f t="shared" ca="1" si="11"/>
        <v>Concluído</v>
      </c>
      <c r="H181" s="95">
        <v>46009</v>
      </c>
      <c r="I181" s="65">
        <v>1</v>
      </c>
      <c r="J181" s="53">
        <f t="shared" si="10"/>
        <v>40</v>
      </c>
      <c r="K181" s="66">
        <v>45658</v>
      </c>
      <c r="L181" s="67">
        <v>45998</v>
      </c>
      <c r="M181" s="68">
        <f t="shared" si="12"/>
        <v>341</v>
      </c>
      <c r="N181" s="69">
        <f>IFERROR(INDEX(Tabela3[ID_Responsavel], MATCH(O181,Tabela3[[Responsáveis ]], 0)), "Não encontrado")</f>
        <v>6</v>
      </c>
      <c r="O181" s="58" t="s">
        <v>131</v>
      </c>
      <c r="P181" s="59" t="s">
        <v>48</v>
      </c>
      <c r="Q181" s="60" t="s">
        <v>134</v>
      </c>
    </row>
    <row r="182" spans="1:17" ht="16.5" hidden="1">
      <c r="A182" s="113">
        <f>IFERROR(INDEX(Tabela2[ID_Area], MATCH(B182,Tabela2[Area], 0)), "Não encontrado")</f>
        <v>1002</v>
      </c>
      <c r="B182" s="47" t="s">
        <v>79</v>
      </c>
      <c r="C182" s="48" t="s">
        <v>120</v>
      </c>
      <c r="D182" s="62">
        <f>IFERROR(INDEX(Metas!$D$2:$D$104, MATCH(E182,Metas!$E$2:$E$104, 0)), "Não encontrado")</f>
        <v>165</v>
      </c>
      <c r="E182" s="63" t="s">
        <v>133</v>
      </c>
      <c r="F182" s="63" t="s">
        <v>418</v>
      </c>
      <c r="G182" s="62" t="str">
        <f t="shared" ca="1" si="11"/>
        <v>Concluído</v>
      </c>
      <c r="H182" s="94" t="s">
        <v>419</v>
      </c>
      <c r="I182" s="65">
        <v>1</v>
      </c>
      <c r="J182" s="53">
        <f t="shared" si="10"/>
        <v>40</v>
      </c>
      <c r="K182" s="66">
        <v>45658</v>
      </c>
      <c r="L182" s="67">
        <v>45998</v>
      </c>
      <c r="M182" s="68">
        <f t="shared" si="12"/>
        <v>341</v>
      </c>
      <c r="N182" s="69">
        <f>IFERROR(INDEX(Tabela3[ID_Responsavel], MATCH(O182,Tabela3[[Responsáveis ]], 0)), "Não encontrado")</f>
        <v>6</v>
      </c>
      <c r="O182" s="58" t="s">
        <v>131</v>
      </c>
      <c r="P182" s="59" t="s">
        <v>48</v>
      </c>
      <c r="Q182" s="60" t="s">
        <v>420</v>
      </c>
    </row>
    <row r="183" spans="1:17" ht="16.5" hidden="1">
      <c r="A183" s="117">
        <f>IFERROR(INDEX(Tabela2[ID_Area], MATCH(B183,Tabela2[Area], 0)), "Não encontrado")</f>
        <v>1002</v>
      </c>
      <c r="B183" s="47" t="s">
        <v>79</v>
      </c>
      <c r="C183" s="48" t="s">
        <v>120</v>
      </c>
      <c r="D183" s="62">
        <f>IFERROR(INDEX(Metas!$D$2:$D$104, MATCH(E183,Metas!$E$2:$E$104, 0)), "Não encontrado")</f>
        <v>165</v>
      </c>
      <c r="E183" s="63" t="s">
        <v>133</v>
      </c>
      <c r="F183" s="63" t="s">
        <v>421</v>
      </c>
      <c r="G183" s="62" t="str">
        <f t="shared" ca="1" si="11"/>
        <v>Concluído</v>
      </c>
      <c r="H183" s="94" t="s">
        <v>422</v>
      </c>
      <c r="I183" s="65">
        <v>1</v>
      </c>
      <c r="J183" s="53">
        <f t="shared" si="10"/>
        <v>40</v>
      </c>
      <c r="K183" s="66">
        <v>45658</v>
      </c>
      <c r="L183" s="67">
        <v>45998</v>
      </c>
      <c r="M183" s="68">
        <f t="shared" si="12"/>
        <v>341</v>
      </c>
      <c r="N183" s="69">
        <f>IFERROR(INDEX(Tabela3[ID_Responsavel], MATCH(O183,Tabela3[[Responsáveis ]], 0)), "Não encontrado")</f>
        <v>6</v>
      </c>
      <c r="O183" s="58" t="s">
        <v>131</v>
      </c>
      <c r="P183" s="59" t="s">
        <v>48</v>
      </c>
      <c r="Q183" s="60" t="s">
        <v>423</v>
      </c>
    </row>
    <row r="184" spans="1:17" ht="16.5" hidden="1">
      <c r="A184" s="113">
        <f>IFERROR(INDEX(Tabela2[ID_Area], MATCH(B184,Tabela2[Area], 0)), "Não encontrado")</f>
        <v>1002</v>
      </c>
      <c r="B184" s="47" t="s">
        <v>79</v>
      </c>
      <c r="C184" s="48" t="s">
        <v>404</v>
      </c>
      <c r="D184" s="62">
        <f>IFERROR(INDEX(Metas!$D$2:$D$104, MATCH(E184,Metas!$E$2:$E$104, 0)), "Não encontrado")</f>
        <v>167</v>
      </c>
      <c r="E184" s="63" t="s">
        <v>137</v>
      </c>
      <c r="F184" s="63" t="s">
        <v>424</v>
      </c>
      <c r="G184" s="62" t="str">
        <f t="shared" ca="1" si="11"/>
        <v>Concluído</v>
      </c>
      <c r="H184" s="98">
        <v>45660</v>
      </c>
      <c r="I184" s="65">
        <v>1</v>
      </c>
      <c r="J184" s="53">
        <f t="shared" si="10"/>
        <v>0.53019145802650958</v>
      </c>
      <c r="K184" s="66">
        <v>45660</v>
      </c>
      <c r="L184" s="67">
        <v>45662</v>
      </c>
      <c r="M184" s="68">
        <f t="shared" si="12"/>
        <v>3</v>
      </c>
      <c r="N184" s="69">
        <f>IFERROR(INDEX(Tabela3[ID_Responsavel], MATCH(O184,Tabela3[[Responsáveis ]], 0)), "Não encontrado")</f>
        <v>9</v>
      </c>
      <c r="O184" s="58" t="s">
        <v>136</v>
      </c>
      <c r="P184" s="59" t="s">
        <v>48</v>
      </c>
      <c r="Q184" s="60" t="s">
        <v>425</v>
      </c>
    </row>
    <row r="185" spans="1:17" ht="16.5" hidden="1">
      <c r="A185" s="117">
        <f>IFERROR(INDEX(Tabela2[ID_Area], MATCH(B185,Tabela2[Area], 0)), "Não encontrado")</f>
        <v>1002</v>
      </c>
      <c r="B185" s="47" t="s">
        <v>79</v>
      </c>
      <c r="C185" s="48" t="s">
        <v>404</v>
      </c>
      <c r="D185" s="62">
        <f>IFERROR(INDEX(Metas!$D$2:$D$104, MATCH(E185,Metas!$E$2:$E$104, 0)), "Não encontrado")</f>
        <v>167</v>
      </c>
      <c r="E185" s="63" t="s">
        <v>137</v>
      </c>
      <c r="F185" s="63" t="s">
        <v>426</v>
      </c>
      <c r="G185" s="62" t="str">
        <f t="shared" ca="1" si="11"/>
        <v>Concluído</v>
      </c>
      <c r="H185" s="98">
        <v>45641</v>
      </c>
      <c r="I185" s="65">
        <v>1</v>
      </c>
      <c r="J185" s="53">
        <f t="shared" si="10"/>
        <v>1.0603829160530192</v>
      </c>
      <c r="K185" s="66">
        <v>45626</v>
      </c>
      <c r="L185" s="67">
        <v>45631</v>
      </c>
      <c r="M185" s="68">
        <f t="shared" si="12"/>
        <v>6</v>
      </c>
      <c r="N185" s="69">
        <f>IFERROR(INDEX(Tabela3[ID_Responsavel], MATCH(O185,Tabela3[[Responsáveis ]], 0)), "Não encontrado")</f>
        <v>9</v>
      </c>
      <c r="O185" s="58" t="s">
        <v>136</v>
      </c>
      <c r="P185" s="59" t="s">
        <v>48</v>
      </c>
      <c r="Q185" s="60" t="s">
        <v>427</v>
      </c>
    </row>
    <row r="186" spans="1:17" ht="16.5" hidden="1">
      <c r="A186" s="113">
        <f>IFERROR(INDEX(Tabela2[ID_Area], MATCH(B186,Tabela2[Area], 0)), "Não encontrado")</f>
        <v>1002</v>
      </c>
      <c r="B186" s="47" t="s">
        <v>79</v>
      </c>
      <c r="C186" s="48" t="s">
        <v>404</v>
      </c>
      <c r="D186" s="62">
        <f>IFERROR(INDEX(Metas!$D$2:$D$104, MATCH(E186,Metas!$E$2:$E$104, 0)), "Não encontrado")</f>
        <v>167</v>
      </c>
      <c r="E186" s="63" t="s">
        <v>137</v>
      </c>
      <c r="F186" s="63" t="s">
        <v>428</v>
      </c>
      <c r="G186" s="62" t="str">
        <f t="shared" ca="1" si="11"/>
        <v>Concluído</v>
      </c>
      <c r="H186" s="98">
        <v>45644</v>
      </c>
      <c r="I186" s="65">
        <v>1</v>
      </c>
      <c r="J186" s="53">
        <f t="shared" si="10"/>
        <v>3.5346097201767304</v>
      </c>
      <c r="K186" s="66">
        <v>45627</v>
      </c>
      <c r="L186" s="67">
        <v>45646</v>
      </c>
      <c r="M186" s="68">
        <f t="shared" si="12"/>
        <v>20</v>
      </c>
      <c r="N186" s="69">
        <f>IFERROR(INDEX(Tabela3[ID_Responsavel], MATCH(O186,Tabela3[[Responsáveis ]], 0)), "Não encontrado")</f>
        <v>9</v>
      </c>
      <c r="O186" s="58" t="s">
        <v>136</v>
      </c>
      <c r="P186" s="59" t="s">
        <v>48</v>
      </c>
      <c r="Q186" s="60" t="s">
        <v>429</v>
      </c>
    </row>
    <row r="187" spans="1:17" ht="16.5" hidden="1">
      <c r="A187" s="117">
        <f>IFERROR(INDEX(Tabela2[ID_Area], MATCH(B187,Tabela2[Area], 0)), "Não encontrado")</f>
        <v>1002</v>
      </c>
      <c r="B187" s="47" t="s">
        <v>79</v>
      </c>
      <c r="C187" s="48" t="s">
        <v>404</v>
      </c>
      <c r="D187" s="62">
        <f>IFERROR(INDEX(Metas!$D$2:$D$104, MATCH(E187,Metas!$E$2:$E$104, 0)), "Não encontrado")</f>
        <v>167</v>
      </c>
      <c r="E187" s="63" t="s">
        <v>137</v>
      </c>
      <c r="F187" s="63" t="s">
        <v>430</v>
      </c>
      <c r="G187" s="62" t="str">
        <f t="shared" ca="1" si="11"/>
        <v>Concluído</v>
      </c>
      <c r="H187" s="98">
        <v>45733</v>
      </c>
      <c r="I187" s="65">
        <v>1</v>
      </c>
      <c r="J187" s="53">
        <f t="shared" si="10"/>
        <v>0.53019145802650958</v>
      </c>
      <c r="K187" s="66">
        <v>45719</v>
      </c>
      <c r="L187" s="67">
        <v>45721</v>
      </c>
      <c r="M187" s="68">
        <f t="shared" si="12"/>
        <v>3</v>
      </c>
      <c r="N187" s="69">
        <f>IFERROR(INDEX(Tabela3[ID_Responsavel], MATCH(O187,Tabela3[[Responsáveis ]], 0)), "Não encontrado")</f>
        <v>9</v>
      </c>
      <c r="O187" s="58" t="s">
        <v>136</v>
      </c>
      <c r="P187" s="59" t="s">
        <v>48</v>
      </c>
      <c r="Q187" s="60" t="s">
        <v>427</v>
      </c>
    </row>
    <row r="188" spans="1:17" ht="16.5" hidden="1">
      <c r="A188" s="113">
        <f>IFERROR(INDEX(Tabela2[ID_Area], MATCH(B188,Tabela2[Area], 0)), "Não encontrado")</f>
        <v>1002</v>
      </c>
      <c r="B188" s="47" t="s">
        <v>79</v>
      </c>
      <c r="C188" s="48" t="s">
        <v>404</v>
      </c>
      <c r="D188" s="62">
        <f>IFERROR(INDEX(Metas!$D$2:$D$104, MATCH(E188,Metas!$E$2:$E$104, 0)), "Não encontrado")</f>
        <v>167</v>
      </c>
      <c r="E188" s="63" t="s">
        <v>137</v>
      </c>
      <c r="F188" s="63" t="s">
        <v>428</v>
      </c>
      <c r="G188" s="62" t="str">
        <f t="shared" ca="1" si="11"/>
        <v>Concluído</v>
      </c>
      <c r="H188" s="96" t="s">
        <v>431</v>
      </c>
      <c r="I188" s="65">
        <v>1</v>
      </c>
      <c r="J188" s="53">
        <f t="shared" si="10"/>
        <v>3.7113402061855671</v>
      </c>
      <c r="K188" s="66">
        <v>45721</v>
      </c>
      <c r="L188" s="67">
        <v>45741</v>
      </c>
      <c r="M188" s="68">
        <f t="shared" si="12"/>
        <v>21</v>
      </c>
      <c r="N188" s="69">
        <f>IFERROR(INDEX(Tabela3[ID_Responsavel], MATCH(O188,Tabela3[[Responsáveis ]], 0)), "Não encontrado")</f>
        <v>9</v>
      </c>
      <c r="O188" s="58" t="s">
        <v>136</v>
      </c>
      <c r="P188" s="59" t="s">
        <v>48</v>
      </c>
      <c r="Q188" s="60" t="s">
        <v>429</v>
      </c>
    </row>
    <row r="189" spans="1:17" ht="16.5" hidden="1">
      <c r="A189" s="117">
        <f>IFERROR(INDEX(Tabela2[ID_Area], MATCH(B189,Tabela2[Area], 0)), "Não encontrado")</f>
        <v>1002</v>
      </c>
      <c r="B189" s="47" t="s">
        <v>79</v>
      </c>
      <c r="C189" s="48" t="s">
        <v>404</v>
      </c>
      <c r="D189" s="62">
        <f>IFERROR(INDEX(Metas!$D$2:$D$104, MATCH(E189,Metas!$E$2:$E$104, 0)), "Não encontrado")</f>
        <v>167</v>
      </c>
      <c r="E189" s="63" t="s">
        <v>137</v>
      </c>
      <c r="F189" s="63" t="s">
        <v>432</v>
      </c>
      <c r="G189" s="62" t="str">
        <f t="shared" ca="1" si="11"/>
        <v>Concluído</v>
      </c>
      <c r="H189" s="96" t="s">
        <v>433</v>
      </c>
      <c r="I189" s="65">
        <v>1</v>
      </c>
      <c r="J189" s="53">
        <f t="shared" si="10"/>
        <v>5.3019145802650964</v>
      </c>
      <c r="K189" s="66">
        <v>45809</v>
      </c>
      <c r="L189" s="67">
        <v>45838</v>
      </c>
      <c r="M189" s="68">
        <f t="shared" si="12"/>
        <v>30</v>
      </c>
      <c r="N189" s="69">
        <f>IFERROR(INDEX(Tabela3[ID_Responsavel], MATCH(O189,Tabela3[[Responsáveis ]], 0)), "Não encontrado")</f>
        <v>9</v>
      </c>
      <c r="O189" s="58" t="s">
        <v>136</v>
      </c>
      <c r="P189" s="59" t="s">
        <v>48</v>
      </c>
      <c r="Q189" s="60" t="s">
        <v>427</v>
      </c>
    </row>
    <row r="190" spans="1:17" ht="16.5" hidden="1">
      <c r="A190" s="113">
        <f>IFERROR(INDEX(Tabela2[ID_Area], MATCH(B190,Tabela2[Area], 0)), "Não encontrado")</f>
        <v>1002</v>
      </c>
      <c r="B190" s="47" t="s">
        <v>79</v>
      </c>
      <c r="C190" s="48" t="s">
        <v>404</v>
      </c>
      <c r="D190" s="62">
        <f>IFERROR(INDEX(Metas!$D$2:$D$104, MATCH(E190,Metas!$E$2:$E$104, 0)), "Não encontrado")</f>
        <v>167</v>
      </c>
      <c r="E190" s="63" t="s">
        <v>137</v>
      </c>
      <c r="F190" s="63" t="s">
        <v>428</v>
      </c>
      <c r="G190" s="62" t="str">
        <f t="shared" ca="1" si="11"/>
        <v>Concluído</v>
      </c>
      <c r="H190" s="98" t="s">
        <v>433</v>
      </c>
      <c r="I190" s="65">
        <v>1</v>
      </c>
      <c r="J190" s="53">
        <f t="shared" si="10"/>
        <v>3.7113402061855671</v>
      </c>
      <c r="K190" s="66">
        <v>45813</v>
      </c>
      <c r="L190" s="67">
        <v>45833</v>
      </c>
      <c r="M190" s="68">
        <f t="shared" si="12"/>
        <v>21</v>
      </c>
      <c r="N190" s="69">
        <f>IFERROR(INDEX(Tabela3[ID_Responsavel], MATCH(O190,Tabela3[[Responsáveis ]], 0)), "Não encontrado")</f>
        <v>9</v>
      </c>
      <c r="O190" s="58" t="s">
        <v>136</v>
      </c>
      <c r="P190" s="59" t="s">
        <v>48</v>
      </c>
      <c r="Q190" s="60" t="s">
        <v>429</v>
      </c>
    </row>
    <row r="191" spans="1:17" ht="16.5" hidden="1">
      <c r="A191" s="117">
        <f>IFERROR(INDEX(Tabela2[ID_Area], MATCH(B191,Tabela2[Area], 0)), "Não encontrado")</f>
        <v>1002</v>
      </c>
      <c r="B191" s="47" t="s">
        <v>79</v>
      </c>
      <c r="C191" s="48" t="s">
        <v>404</v>
      </c>
      <c r="D191" s="62">
        <f>IFERROR(INDEX(Metas!$D$2:$D$104, MATCH(E191,Metas!$E$2:$E$104, 0)), "Não encontrado")</f>
        <v>167</v>
      </c>
      <c r="E191" s="63" t="s">
        <v>137</v>
      </c>
      <c r="F191" s="63" t="s">
        <v>434</v>
      </c>
      <c r="G191" s="62" t="str">
        <f t="shared" ca="1" si="11"/>
        <v>Concluído</v>
      </c>
      <c r="H191" s="98">
        <v>45926</v>
      </c>
      <c r="I191" s="65">
        <v>1</v>
      </c>
      <c r="J191" s="53">
        <f t="shared" si="10"/>
        <v>0.88365243004418259</v>
      </c>
      <c r="K191" s="66">
        <v>45901</v>
      </c>
      <c r="L191" s="67">
        <v>45905</v>
      </c>
      <c r="M191" s="68">
        <f t="shared" si="12"/>
        <v>5</v>
      </c>
      <c r="N191" s="69">
        <f>IFERROR(INDEX(Tabela3[ID_Responsavel], MATCH(O191,Tabela3[[Responsáveis ]], 0)), "Não encontrado")</f>
        <v>9</v>
      </c>
      <c r="O191" s="58" t="s">
        <v>136</v>
      </c>
      <c r="P191" s="59" t="s">
        <v>48</v>
      </c>
      <c r="Q191" s="60" t="s">
        <v>427</v>
      </c>
    </row>
    <row r="192" spans="1:17" ht="16.5" hidden="1">
      <c r="A192" s="113">
        <f>IFERROR(INDEX(Tabela2[ID_Area], MATCH(B192,Tabela2[Area], 0)), "Não encontrado")</f>
        <v>1002</v>
      </c>
      <c r="B192" s="47" t="s">
        <v>79</v>
      </c>
      <c r="C192" s="48" t="s">
        <v>404</v>
      </c>
      <c r="D192" s="62">
        <f>IFERROR(INDEX(Metas!$D$2:$D$104, MATCH(E192,Metas!$E$2:$E$104, 0)), "Não encontrado")</f>
        <v>167</v>
      </c>
      <c r="E192" s="63" t="s">
        <v>137</v>
      </c>
      <c r="F192" s="63" t="s">
        <v>428</v>
      </c>
      <c r="G192" s="62" t="str">
        <f t="shared" ca="1" si="11"/>
        <v>Concluído</v>
      </c>
      <c r="H192" s="96" t="s">
        <v>435</v>
      </c>
      <c r="I192" s="65">
        <v>1</v>
      </c>
      <c r="J192" s="53">
        <f t="shared" si="10"/>
        <v>36.229749631811487</v>
      </c>
      <c r="K192" s="66">
        <v>45721</v>
      </c>
      <c r="L192" s="67">
        <v>45925</v>
      </c>
      <c r="M192" s="68">
        <f t="shared" si="12"/>
        <v>205</v>
      </c>
      <c r="N192" s="69">
        <f>IFERROR(INDEX(Tabela3[ID_Responsavel], MATCH(O192,Tabela3[[Responsáveis ]], 0)), "Não encontrado")</f>
        <v>9</v>
      </c>
      <c r="O192" s="58" t="s">
        <v>136</v>
      </c>
      <c r="P192" s="59" t="s">
        <v>48</v>
      </c>
      <c r="Q192" s="60" t="s">
        <v>429</v>
      </c>
    </row>
    <row r="193" spans="1:17" ht="16.5" hidden="1">
      <c r="A193" s="117">
        <f>IFERROR(INDEX(Tabela2[ID_Area], MATCH(B193,Tabela2[Area], 0)), "Não encontrado")</f>
        <v>1002</v>
      </c>
      <c r="B193" s="47" t="s">
        <v>79</v>
      </c>
      <c r="C193" s="48" t="s">
        <v>404</v>
      </c>
      <c r="D193" s="62">
        <f>IFERROR(INDEX(Metas!$D$2:$D$104, MATCH(E193,Metas!$E$2:$E$104, 0)), "Não encontrado")</f>
        <v>167</v>
      </c>
      <c r="E193" s="63" t="s">
        <v>137</v>
      </c>
      <c r="F193" s="63" t="s">
        <v>436</v>
      </c>
      <c r="G193" s="62" t="str">
        <f t="shared" ca="1" si="11"/>
        <v>Concluído</v>
      </c>
      <c r="H193" s="98">
        <v>46008</v>
      </c>
      <c r="I193" s="65">
        <v>1</v>
      </c>
      <c r="J193" s="53">
        <f t="shared" si="10"/>
        <v>64.50662739322533</v>
      </c>
      <c r="K193" s="66">
        <v>45658</v>
      </c>
      <c r="L193" s="67">
        <v>46022</v>
      </c>
      <c r="M193" s="68">
        <f t="shared" si="12"/>
        <v>365</v>
      </c>
      <c r="N193" s="69">
        <f>IFERROR(INDEX(Tabela3[ID_Responsavel], MATCH(O193,Tabela3[[Responsáveis ]], 0)), "Não encontrado")</f>
        <v>9</v>
      </c>
      <c r="O193" s="58" t="s">
        <v>136</v>
      </c>
      <c r="P193" s="59" t="s">
        <v>48</v>
      </c>
      <c r="Q193" s="60" t="s">
        <v>427</v>
      </c>
    </row>
    <row r="194" spans="1:17" ht="16.5" hidden="1">
      <c r="A194" s="113">
        <f>IFERROR(INDEX(Tabela2[ID_Area], MATCH(B194,Tabela2[Area], 0)), "Não encontrado")</f>
        <v>1002</v>
      </c>
      <c r="B194" s="47" t="s">
        <v>79</v>
      </c>
      <c r="C194" s="48" t="s">
        <v>120</v>
      </c>
      <c r="D194" s="62">
        <f>IFERROR(INDEX(Metas!$D$2:$D$104, MATCH(E194,Metas!$E$2:$E$104, 0)), "Não encontrado")</f>
        <v>159</v>
      </c>
      <c r="E194" s="63" t="s">
        <v>121</v>
      </c>
      <c r="F194" s="63" t="s">
        <v>437</v>
      </c>
      <c r="G194" s="62" t="str">
        <f t="shared" ca="1" si="11"/>
        <v>Concluído</v>
      </c>
      <c r="H194" s="64">
        <v>45383</v>
      </c>
      <c r="I194" s="65">
        <v>1</v>
      </c>
      <c r="J194" s="53">
        <f t="shared" ref="J194:J257" si="13">IFERROR( M194 / SUMIFS($M:$M, $E:$E, $E194, $O:$O, $O194) * 120, 0 )</f>
        <v>5.3038674033149169</v>
      </c>
      <c r="K194" s="66">
        <v>45296</v>
      </c>
      <c r="L194" s="67">
        <v>45383</v>
      </c>
      <c r="M194" s="68">
        <f t="shared" si="12"/>
        <v>88</v>
      </c>
      <c r="N194" s="69">
        <f>IFERROR(INDEX(Tabela3[ID_Responsavel], MATCH(O194,Tabela3[[Responsáveis ]], 0)), "Não encontrado")</f>
        <v>2</v>
      </c>
      <c r="O194" s="58" t="s">
        <v>122</v>
      </c>
      <c r="P194" s="59" t="s">
        <v>48</v>
      </c>
      <c r="Q194" s="60" t="s">
        <v>198</v>
      </c>
    </row>
    <row r="195" spans="1:17" ht="16.5" hidden="1">
      <c r="A195" s="117">
        <f>IFERROR(INDEX(Tabela2[ID_Area], MATCH(B195,Tabela2[Area], 0)), "Não encontrado")</f>
        <v>1002</v>
      </c>
      <c r="B195" s="47" t="s">
        <v>79</v>
      </c>
      <c r="C195" s="48" t="s">
        <v>120</v>
      </c>
      <c r="D195" s="62">
        <f>IFERROR(INDEX(Metas!$D$2:$D$104, MATCH(E195,Metas!$E$2:$E$104, 0)), "Não encontrado")</f>
        <v>159</v>
      </c>
      <c r="E195" s="63" t="s">
        <v>121</v>
      </c>
      <c r="F195" s="63" t="s">
        <v>438</v>
      </c>
      <c r="G195" s="62" t="str">
        <f t="shared" ref="G195:G258" ca="1" si="14">IF(I195=1,"Concluído",
   IF(TODAY()&gt;L195,"Atrasado",
      IF(AND(I195=0,TODAY()&lt;K195),"Não iniciado",
         "Em Andamento")))</f>
        <v>Concluído</v>
      </c>
      <c r="H195" s="64">
        <v>45588</v>
      </c>
      <c r="I195" s="65">
        <v>1</v>
      </c>
      <c r="J195" s="53">
        <f t="shared" si="13"/>
        <v>12.415871421396284</v>
      </c>
      <c r="K195" s="66">
        <v>45383</v>
      </c>
      <c r="L195" s="67">
        <v>45588</v>
      </c>
      <c r="M195" s="68">
        <f t="shared" ref="M195:M258" si="15" xml:space="preserve"> L195 - K195 + 1</f>
        <v>206</v>
      </c>
      <c r="N195" s="69">
        <f>IFERROR(INDEX(Tabela3[ID_Responsavel], MATCH(O195,Tabela3[[Responsáveis ]], 0)), "Não encontrado")</f>
        <v>2</v>
      </c>
      <c r="O195" s="58" t="s">
        <v>122</v>
      </c>
      <c r="P195" s="59" t="s">
        <v>48</v>
      </c>
      <c r="Q195" s="60" t="s">
        <v>198</v>
      </c>
    </row>
    <row r="196" spans="1:17" ht="16.5" hidden="1">
      <c r="A196" s="113">
        <f>IFERROR(INDEX(Tabela2[ID_Area], MATCH(B196,Tabela2[Area], 0)), "Não encontrado")</f>
        <v>1002</v>
      </c>
      <c r="B196" s="47" t="s">
        <v>79</v>
      </c>
      <c r="C196" s="48" t="s">
        <v>120</v>
      </c>
      <c r="D196" s="62">
        <f>IFERROR(INDEX(Metas!$D$2:$D$104, MATCH(E196,Metas!$E$2:$E$104, 0)), "Não encontrado")</f>
        <v>159</v>
      </c>
      <c r="E196" s="63" t="s">
        <v>121</v>
      </c>
      <c r="F196" s="63" t="s">
        <v>439</v>
      </c>
      <c r="G196" s="62" t="str">
        <f t="shared" ca="1" si="14"/>
        <v>Concluído</v>
      </c>
      <c r="H196" s="64">
        <v>45656</v>
      </c>
      <c r="I196" s="65">
        <v>1</v>
      </c>
      <c r="J196" s="53">
        <f t="shared" si="13"/>
        <v>4.158714213962833</v>
      </c>
      <c r="K196" s="66">
        <v>45588</v>
      </c>
      <c r="L196" s="67">
        <v>45656</v>
      </c>
      <c r="M196" s="68">
        <f t="shared" si="15"/>
        <v>69</v>
      </c>
      <c r="N196" s="69">
        <f>IFERROR(INDEX(Tabela3[ID_Responsavel], MATCH(O196,Tabela3[[Responsáveis ]], 0)), "Não encontrado")</f>
        <v>2</v>
      </c>
      <c r="O196" s="58" t="s">
        <v>122</v>
      </c>
      <c r="P196" s="59" t="s">
        <v>48</v>
      </c>
      <c r="Q196" s="60" t="s">
        <v>440</v>
      </c>
    </row>
    <row r="197" spans="1:17" ht="16.5" hidden="1">
      <c r="A197" s="117">
        <f>IFERROR(INDEX(Tabela2[ID_Area], MATCH(B197,Tabela2[Area], 0)), "Não encontrado")</f>
        <v>1002</v>
      </c>
      <c r="B197" s="47" t="s">
        <v>79</v>
      </c>
      <c r="C197" s="48" t="s">
        <v>120</v>
      </c>
      <c r="D197" s="62">
        <f>IFERROR(INDEX(Metas!$D$2:$D$104, MATCH(E197,Metas!$E$2:$E$104, 0)), "Não encontrado")</f>
        <v>159</v>
      </c>
      <c r="E197" s="63" t="s">
        <v>121</v>
      </c>
      <c r="F197" s="63" t="s">
        <v>441</v>
      </c>
      <c r="G197" s="62" t="str">
        <f t="shared" ca="1" si="14"/>
        <v>Concluído</v>
      </c>
      <c r="H197" s="64">
        <v>45889</v>
      </c>
      <c r="I197" s="65">
        <v>1</v>
      </c>
      <c r="J197" s="53">
        <f t="shared" si="13"/>
        <v>10.728277247614264</v>
      </c>
      <c r="K197" s="66">
        <v>45689</v>
      </c>
      <c r="L197" s="67">
        <v>45866</v>
      </c>
      <c r="M197" s="68">
        <f t="shared" si="15"/>
        <v>178</v>
      </c>
      <c r="N197" s="69">
        <f>IFERROR(INDEX(Tabela3[ID_Responsavel], MATCH(O197,Tabela3[[Responsáveis ]], 0)), "Não encontrado")</f>
        <v>2</v>
      </c>
      <c r="O197" s="58" t="s">
        <v>122</v>
      </c>
      <c r="P197" s="59" t="s">
        <v>48</v>
      </c>
      <c r="Q197" s="60" t="s">
        <v>198</v>
      </c>
    </row>
    <row r="198" spans="1:17" ht="16.5" hidden="1">
      <c r="A198" s="113">
        <f>IFERROR(INDEX(Tabela2[ID_Area], MATCH(B198,Tabela2[Area], 0)), "Não encontrado")</f>
        <v>1002</v>
      </c>
      <c r="B198" s="47" t="s">
        <v>79</v>
      </c>
      <c r="C198" s="48" t="s">
        <v>120</v>
      </c>
      <c r="D198" s="62">
        <f>IFERROR(INDEX(Metas!$D$2:$D$104, MATCH(E198,Metas!$E$2:$E$104, 0)), "Não encontrado")</f>
        <v>159</v>
      </c>
      <c r="E198" s="63" t="s">
        <v>121</v>
      </c>
      <c r="F198" s="63" t="s">
        <v>442</v>
      </c>
      <c r="G198" s="62" t="str">
        <f t="shared" ca="1" si="14"/>
        <v>Concluído</v>
      </c>
      <c r="H198" s="64">
        <v>46009</v>
      </c>
      <c r="I198" s="65">
        <v>1</v>
      </c>
      <c r="J198" s="53">
        <f t="shared" si="13"/>
        <v>21.93872425916625</v>
      </c>
      <c r="K198" s="66">
        <v>45658</v>
      </c>
      <c r="L198" s="67">
        <v>46021</v>
      </c>
      <c r="M198" s="68">
        <f t="shared" si="15"/>
        <v>364</v>
      </c>
      <c r="N198" s="69">
        <f>IFERROR(INDEX(Tabela3[ID_Responsavel], MATCH(O198,Tabela3[[Responsáveis ]], 0)), "Não encontrado")</f>
        <v>2</v>
      </c>
      <c r="O198" s="58" t="s">
        <v>122</v>
      </c>
      <c r="P198" s="59" t="s">
        <v>48</v>
      </c>
      <c r="Q198" s="60" t="s">
        <v>198</v>
      </c>
    </row>
    <row r="199" spans="1:17" ht="16.5" hidden="1">
      <c r="A199" s="117">
        <f>IFERROR(INDEX(Tabela2[ID_Area], MATCH(B199,Tabela2[Area], 0)), "Não encontrado")</f>
        <v>1002</v>
      </c>
      <c r="B199" s="47" t="s">
        <v>79</v>
      </c>
      <c r="C199" s="48" t="s">
        <v>120</v>
      </c>
      <c r="D199" s="62">
        <f>IFERROR(INDEX(Metas!$D$2:$D$104, MATCH(E199,Metas!$E$2:$E$104, 0)), "Não encontrado")</f>
        <v>159</v>
      </c>
      <c r="E199" s="63" t="s">
        <v>121</v>
      </c>
      <c r="F199" s="63" t="s">
        <v>443</v>
      </c>
      <c r="G199" s="62" t="str">
        <f t="shared" ca="1" si="14"/>
        <v>Concluído</v>
      </c>
      <c r="H199" s="64">
        <v>46009</v>
      </c>
      <c r="I199" s="65">
        <v>1</v>
      </c>
      <c r="J199" s="53">
        <f t="shared" si="13"/>
        <v>21.81818181818182</v>
      </c>
      <c r="K199" s="66">
        <v>45660</v>
      </c>
      <c r="L199" s="67">
        <v>46021</v>
      </c>
      <c r="M199" s="68">
        <f t="shared" si="15"/>
        <v>362</v>
      </c>
      <c r="N199" s="69">
        <f>IFERROR(INDEX(Tabela3[ID_Responsavel], MATCH(O199,Tabela3[[Responsáveis ]], 0)), "Não encontrado")</f>
        <v>2</v>
      </c>
      <c r="O199" s="58" t="s">
        <v>122</v>
      </c>
      <c r="P199" s="59" t="s">
        <v>48</v>
      </c>
      <c r="Q199" s="60" t="s">
        <v>198</v>
      </c>
    </row>
    <row r="200" spans="1:17" ht="16.5" hidden="1">
      <c r="A200" s="113">
        <f>IFERROR(INDEX(Tabela2[ID_Area], MATCH(B200,Tabela2[Area], 0)), "Não encontrado")</f>
        <v>1002</v>
      </c>
      <c r="B200" s="47" t="s">
        <v>79</v>
      </c>
      <c r="C200" s="48" t="s">
        <v>120</v>
      </c>
      <c r="D200" s="62">
        <f>IFERROR(INDEX(Metas!$D$2:$D$104, MATCH(E200,Metas!$E$2:$E$104, 0)), "Não encontrado")</f>
        <v>159</v>
      </c>
      <c r="E200" s="63" t="s">
        <v>121</v>
      </c>
      <c r="F200" s="63" t="s">
        <v>393</v>
      </c>
      <c r="G200" s="62" t="str">
        <f t="shared" ca="1" si="14"/>
        <v>Concluído</v>
      </c>
      <c r="H200" s="64">
        <v>46009</v>
      </c>
      <c r="I200" s="65">
        <v>1</v>
      </c>
      <c r="J200" s="53">
        <f t="shared" si="13"/>
        <v>21.81818181818182</v>
      </c>
      <c r="K200" s="66">
        <v>45660</v>
      </c>
      <c r="L200" s="67">
        <v>46021</v>
      </c>
      <c r="M200" s="68">
        <f t="shared" si="15"/>
        <v>362</v>
      </c>
      <c r="N200" s="69">
        <f>IFERROR(INDEX(Tabela3[ID_Responsavel], MATCH(O200,Tabela3[[Responsáveis ]], 0)), "Não encontrado")</f>
        <v>2</v>
      </c>
      <c r="O200" s="58" t="s">
        <v>122</v>
      </c>
      <c r="P200" s="59" t="s">
        <v>48</v>
      </c>
      <c r="Q200" s="60" t="s">
        <v>198</v>
      </c>
    </row>
    <row r="201" spans="1:17" ht="16.5" hidden="1">
      <c r="A201" s="117">
        <f>IFERROR(INDEX(Tabela2[ID_Area], MATCH(B201,Tabela2[Area], 0)), "Não encontrado")</f>
        <v>1002</v>
      </c>
      <c r="B201" s="47" t="s">
        <v>79</v>
      </c>
      <c r="C201" s="48" t="s">
        <v>120</v>
      </c>
      <c r="D201" s="62">
        <f>IFERROR(INDEX(Metas!$D$2:$D$104, MATCH(E201,Metas!$E$2:$E$104, 0)), "Não encontrado")</f>
        <v>159</v>
      </c>
      <c r="E201" s="63" t="s">
        <v>121</v>
      </c>
      <c r="F201" s="63" t="s">
        <v>395</v>
      </c>
      <c r="G201" s="62" t="str">
        <f t="shared" ca="1" si="14"/>
        <v>Concluído</v>
      </c>
      <c r="H201" s="70" t="s">
        <v>444</v>
      </c>
      <c r="I201" s="65">
        <v>1</v>
      </c>
      <c r="J201" s="53">
        <f t="shared" si="13"/>
        <v>21.81818181818182</v>
      </c>
      <c r="K201" s="66">
        <v>45660</v>
      </c>
      <c r="L201" s="67">
        <v>46021</v>
      </c>
      <c r="M201" s="68">
        <f t="shared" si="15"/>
        <v>362</v>
      </c>
      <c r="N201" s="69">
        <f>IFERROR(INDEX(Tabela3[ID_Responsavel], MATCH(O201,Tabela3[[Responsáveis ]], 0)), "Não encontrado")</f>
        <v>2</v>
      </c>
      <c r="O201" s="58" t="s">
        <v>122</v>
      </c>
      <c r="P201" s="59" t="s">
        <v>48</v>
      </c>
      <c r="Q201" s="60" t="s">
        <v>198</v>
      </c>
    </row>
    <row r="202" spans="1:17" ht="16.5" hidden="1">
      <c r="A202" s="113">
        <f>IFERROR(INDEX(Tabela2[ID_Area], MATCH(B202,Tabela2[Area], 0)), "Não encontrado")</f>
        <v>1002</v>
      </c>
      <c r="B202" s="47" t="s">
        <v>79</v>
      </c>
      <c r="C202" s="48" t="s">
        <v>120</v>
      </c>
      <c r="D202" s="62">
        <f>IFERROR(INDEX(Metas!$D$2:$D$104, MATCH(E202,Metas!$E$2:$E$104, 0)), "Não encontrado")</f>
        <v>162</v>
      </c>
      <c r="E202" s="63" t="s">
        <v>127</v>
      </c>
      <c r="F202" s="63" t="s">
        <v>445</v>
      </c>
      <c r="G202" s="62" t="str">
        <f t="shared" ca="1" si="14"/>
        <v>Concluído</v>
      </c>
      <c r="H202" s="64">
        <v>45717</v>
      </c>
      <c r="I202" s="65">
        <v>1</v>
      </c>
      <c r="J202" s="53">
        <f t="shared" si="13"/>
        <v>3.8247011952191237</v>
      </c>
      <c r="K202" s="66">
        <v>45717</v>
      </c>
      <c r="L202" s="67">
        <v>45748</v>
      </c>
      <c r="M202" s="68">
        <f t="shared" si="15"/>
        <v>32</v>
      </c>
      <c r="N202" s="69">
        <f>IFERROR(INDEX(Tabela3[ID_Responsavel], MATCH(O202,Tabela3[[Responsáveis ]], 0)), "Não encontrado")</f>
        <v>4</v>
      </c>
      <c r="O202" s="58" t="s">
        <v>124</v>
      </c>
      <c r="P202" s="59" t="s">
        <v>48</v>
      </c>
      <c r="Q202" s="60" t="s">
        <v>198</v>
      </c>
    </row>
    <row r="203" spans="1:17" ht="16.5" hidden="1">
      <c r="A203" s="117">
        <f>IFERROR(INDEX(Tabela2[ID_Area], MATCH(B203,Tabela2[Area], 0)), "Não encontrado")</f>
        <v>1002</v>
      </c>
      <c r="B203" s="47" t="s">
        <v>79</v>
      </c>
      <c r="C203" s="48" t="s">
        <v>120</v>
      </c>
      <c r="D203" s="62">
        <f>IFERROR(INDEX(Metas!$D$2:$D$104, MATCH(E203,Metas!$E$2:$E$104, 0)), "Não encontrado")</f>
        <v>162</v>
      </c>
      <c r="E203" s="63" t="s">
        <v>127</v>
      </c>
      <c r="F203" s="63" t="s">
        <v>446</v>
      </c>
      <c r="G203" s="62" t="str">
        <f t="shared" ca="1" si="14"/>
        <v>Concluído</v>
      </c>
      <c r="H203" s="64">
        <v>46009</v>
      </c>
      <c r="I203" s="65">
        <v>1</v>
      </c>
      <c r="J203" s="53">
        <f t="shared" si="13"/>
        <v>43.505976095617534</v>
      </c>
      <c r="K203" s="66">
        <v>45658</v>
      </c>
      <c r="L203" s="67">
        <v>46021</v>
      </c>
      <c r="M203" s="68">
        <f t="shared" si="15"/>
        <v>364</v>
      </c>
      <c r="N203" s="69">
        <f>IFERROR(INDEX(Tabela3[ID_Responsavel], MATCH(O203,Tabela3[[Responsáveis ]], 0)), "Não encontrado")</f>
        <v>4</v>
      </c>
      <c r="O203" s="58" t="s">
        <v>124</v>
      </c>
      <c r="P203" s="59" t="s">
        <v>48</v>
      </c>
      <c r="Q203" s="60" t="s">
        <v>198</v>
      </c>
    </row>
    <row r="204" spans="1:17" ht="16.5" hidden="1">
      <c r="A204" s="113">
        <f>IFERROR(INDEX(Tabela2[ID_Area], MATCH(B204,Tabela2[Area], 0)), "Não encontrado")</f>
        <v>1002</v>
      </c>
      <c r="B204" s="47" t="s">
        <v>79</v>
      </c>
      <c r="C204" s="48" t="s">
        <v>120</v>
      </c>
      <c r="D204" s="62">
        <f>IFERROR(INDEX(Metas!$D$2:$D$104, MATCH(E204,Metas!$E$2:$E$104, 0)), "Não encontrado")</f>
        <v>162</v>
      </c>
      <c r="E204" s="63" t="s">
        <v>127</v>
      </c>
      <c r="F204" s="63" t="s">
        <v>393</v>
      </c>
      <c r="G204" s="62" t="str">
        <f t="shared" ca="1" si="14"/>
        <v>Concluído</v>
      </c>
      <c r="H204" s="64">
        <v>46009</v>
      </c>
      <c r="I204" s="65">
        <v>1</v>
      </c>
      <c r="J204" s="53">
        <f t="shared" si="13"/>
        <v>29.163346613545819</v>
      </c>
      <c r="K204" s="66">
        <v>45778</v>
      </c>
      <c r="L204" s="67">
        <v>46021</v>
      </c>
      <c r="M204" s="68">
        <f t="shared" si="15"/>
        <v>244</v>
      </c>
      <c r="N204" s="69">
        <f>IFERROR(INDEX(Tabela3[ID_Responsavel], MATCH(O204,Tabela3[[Responsáveis ]], 0)), "Não encontrado")</f>
        <v>4</v>
      </c>
      <c r="O204" s="58" t="s">
        <v>124</v>
      </c>
      <c r="P204" s="59" t="s">
        <v>48</v>
      </c>
      <c r="Q204" s="60" t="s">
        <v>198</v>
      </c>
    </row>
    <row r="205" spans="1:17" ht="16.5" hidden="1">
      <c r="A205" s="117">
        <f>IFERROR(INDEX(Tabela2[ID_Area], MATCH(B205,Tabela2[Area], 0)), "Não encontrado")</f>
        <v>1002</v>
      </c>
      <c r="B205" s="47" t="s">
        <v>79</v>
      </c>
      <c r="C205" s="48" t="s">
        <v>120</v>
      </c>
      <c r="D205" s="62">
        <f>IFERROR(INDEX(Metas!$D$2:$D$104, MATCH(E205,Metas!$E$2:$E$104, 0)), "Não encontrado")</f>
        <v>162</v>
      </c>
      <c r="E205" s="63" t="s">
        <v>127</v>
      </c>
      <c r="F205" s="63" t="s">
        <v>395</v>
      </c>
      <c r="G205" s="62" t="str">
        <f t="shared" ca="1" si="14"/>
        <v>Concluído</v>
      </c>
      <c r="H205" s="64">
        <v>46009</v>
      </c>
      <c r="I205" s="65">
        <v>1</v>
      </c>
      <c r="J205" s="53">
        <f t="shared" si="13"/>
        <v>43.505976095617534</v>
      </c>
      <c r="K205" s="66">
        <v>45658</v>
      </c>
      <c r="L205" s="67">
        <v>46021</v>
      </c>
      <c r="M205" s="68">
        <f t="shared" si="15"/>
        <v>364</v>
      </c>
      <c r="N205" s="69">
        <f>IFERROR(INDEX(Tabela3[ID_Responsavel], MATCH(O205,Tabela3[[Responsáveis ]], 0)), "Não encontrado")</f>
        <v>4</v>
      </c>
      <c r="O205" s="58" t="s">
        <v>124</v>
      </c>
      <c r="P205" s="59" t="s">
        <v>48</v>
      </c>
      <c r="Q205" s="60" t="s">
        <v>198</v>
      </c>
    </row>
    <row r="206" spans="1:17" ht="16.5" hidden="1">
      <c r="A206" s="113">
        <f>IFERROR(INDEX(Tabela2[ID_Area], MATCH(B206,Tabela2[Area], 0)), "Não encontrado")</f>
        <v>1003</v>
      </c>
      <c r="B206" s="47" t="s">
        <v>92</v>
      </c>
      <c r="C206" s="48" t="s">
        <v>259</v>
      </c>
      <c r="D206" s="62">
        <f>IFERROR(INDEX(Metas!$D$2:$D$104, MATCH(E206,Metas!$E$2:$E$104, 0)), "Não encontrado")</f>
        <v>170</v>
      </c>
      <c r="E206" s="63" t="s">
        <v>143</v>
      </c>
      <c r="F206" s="63" t="s">
        <v>447</v>
      </c>
      <c r="G206" s="62" t="str">
        <f t="shared" ca="1" si="14"/>
        <v>Concluído</v>
      </c>
      <c r="H206" s="99">
        <v>45687</v>
      </c>
      <c r="I206" s="73">
        <v>1</v>
      </c>
      <c r="J206" s="53">
        <f t="shared" si="13"/>
        <v>12.317880794701987</v>
      </c>
      <c r="K206" s="84">
        <v>45658</v>
      </c>
      <c r="L206" s="85">
        <v>45688</v>
      </c>
      <c r="M206" s="68">
        <f t="shared" si="15"/>
        <v>31</v>
      </c>
      <c r="N206" s="69">
        <f>IFERROR(INDEX(Tabela3[ID_Responsavel], MATCH(O206,Tabela3[[Responsáveis ]], 0)), "Não encontrado")</f>
        <v>21</v>
      </c>
      <c r="O206" s="58" t="s">
        <v>142</v>
      </c>
      <c r="P206" s="59" t="s">
        <v>19</v>
      </c>
      <c r="Q206" s="60" t="s">
        <v>448</v>
      </c>
    </row>
    <row r="207" spans="1:17" ht="30.75" hidden="1">
      <c r="A207" s="117">
        <f>IFERROR(INDEX(Tabela2[ID_Area], MATCH(B207,Tabela2[Area], 0)), "Não encontrado")</f>
        <v>1003</v>
      </c>
      <c r="B207" s="47" t="s">
        <v>92</v>
      </c>
      <c r="C207" s="48" t="s">
        <v>259</v>
      </c>
      <c r="D207" s="62">
        <f>IFERROR(INDEX(Metas!$D$2:$D$104, MATCH(E207,Metas!$E$2:$E$104, 0)), "Não encontrado")</f>
        <v>170</v>
      </c>
      <c r="E207" s="63" t="s">
        <v>143</v>
      </c>
      <c r="F207" s="63" t="s">
        <v>449</v>
      </c>
      <c r="G207" s="62" t="str">
        <f t="shared" ca="1" si="14"/>
        <v>Concluído</v>
      </c>
      <c r="H207" s="99">
        <v>45799</v>
      </c>
      <c r="I207" s="73">
        <v>1</v>
      </c>
      <c r="J207" s="53">
        <f t="shared" si="13"/>
        <v>71.523178807947019</v>
      </c>
      <c r="K207" s="84">
        <v>45689</v>
      </c>
      <c r="L207" s="85">
        <v>45868</v>
      </c>
      <c r="M207" s="68">
        <f t="shared" si="15"/>
        <v>180</v>
      </c>
      <c r="N207" s="69">
        <f>IFERROR(INDEX(Tabela3[ID_Responsavel], MATCH(O207,Tabela3[[Responsáveis ]], 0)), "Não encontrado")</f>
        <v>21</v>
      </c>
      <c r="O207" s="58" t="s">
        <v>142</v>
      </c>
      <c r="P207" s="59" t="s">
        <v>19</v>
      </c>
      <c r="Q207" s="100" t="s">
        <v>450</v>
      </c>
    </row>
    <row r="208" spans="1:17" ht="16.5" hidden="1">
      <c r="A208" s="113">
        <f>IFERROR(INDEX(Tabela2[ID_Area], MATCH(B208,Tabela2[Area], 0)), "Não encontrado")</f>
        <v>1003</v>
      </c>
      <c r="B208" s="47" t="s">
        <v>92</v>
      </c>
      <c r="C208" s="48" t="s">
        <v>259</v>
      </c>
      <c r="D208" s="62">
        <f>IFERROR(INDEX(Metas!$D$2:$D$104, MATCH(E208,Metas!$E$2:$E$104, 0)), "Não encontrado")</f>
        <v>170</v>
      </c>
      <c r="E208" s="63" t="s">
        <v>143</v>
      </c>
      <c r="F208" s="63" t="s">
        <v>451</v>
      </c>
      <c r="G208" s="62" t="str">
        <f t="shared" ca="1" si="14"/>
        <v>Concluído</v>
      </c>
      <c r="H208" s="99">
        <v>45877</v>
      </c>
      <c r="I208" s="73">
        <v>1</v>
      </c>
      <c r="J208" s="53">
        <f t="shared" si="13"/>
        <v>5.960264900662251</v>
      </c>
      <c r="K208" s="84">
        <v>45870</v>
      </c>
      <c r="L208" s="85">
        <v>45884</v>
      </c>
      <c r="M208" s="68">
        <f t="shared" si="15"/>
        <v>15</v>
      </c>
      <c r="N208" s="69">
        <f>IFERROR(INDEX(Tabela3[ID_Responsavel], MATCH(O208,Tabela3[[Responsáveis ]], 0)), "Não encontrado")</f>
        <v>21</v>
      </c>
      <c r="O208" s="58" t="s">
        <v>142</v>
      </c>
      <c r="P208" s="59" t="s">
        <v>19</v>
      </c>
      <c r="Q208" s="60" t="s">
        <v>452</v>
      </c>
    </row>
    <row r="209" spans="1:17" ht="16.5" hidden="1">
      <c r="A209" s="117">
        <f>IFERROR(INDEX(Tabela2[ID_Area], MATCH(B209,Tabela2[Area], 0)), "Não encontrado")</f>
        <v>1003</v>
      </c>
      <c r="B209" s="47" t="s">
        <v>92</v>
      </c>
      <c r="C209" s="48" t="s">
        <v>259</v>
      </c>
      <c r="D209" s="62">
        <f>IFERROR(INDEX(Metas!$D$2:$D$104, MATCH(E209,Metas!$E$2:$E$104, 0)), "Não encontrado")</f>
        <v>170</v>
      </c>
      <c r="E209" s="63" t="s">
        <v>143</v>
      </c>
      <c r="F209" s="63" t="s">
        <v>453</v>
      </c>
      <c r="G209" s="62" t="str">
        <f t="shared" ca="1" si="14"/>
        <v>Concluído</v>
      </c>
      <c r="H209" s="99">
        <v>45877</v>
      </c>
      <c r="I209" s="73">
        <v>1</v>
      </c>
      <c r="J209" s="53">
        <f t="shared" si="13"/>
        <v>6.3576158940397347</v>
      </c>
      <c r="K209" s="84">
        <v>45884</v>
      </c>
      <c r="L209" s="85">
        <v>45899</v>
      </c>
      <c r="M209" s="68">
        <f t="shared" si="15"/>
        <v>16</v>
      </c>
      <c r="N209" s="69">
        <f>IFERROR(INDEX(Tabela3[ID_Responsavel], MATCH(O209,Tabela3[[Responsáveis ]], 0)), "Não encontrado")</f>
        <v>21</v>
      </c>
      <c r="O209" s="58" t="s">
        <v>142</v>
      </c>
      <c r="P209" s="59" t="s">
        <v>19</v>
      </c>
      <c r="Q209" s="60" t="s">
        <v>454</v>
      </c>
    </row>
    <row r="210" spans="1:17" ht="16.5" hidden="1">
      <c r="A210" s="113">
        <f>IFERROR(INDEX(Tabela2[ID_Area], MATCH(B210,Tabela2[Area], 0)), "Não encontrado")</f>
        <v>1003</v>
      </c>
      <c r="B210" s="47" t="s">
        <v>92</v>
      </c>
      <c r="C210" s="48" t="s">
        <v>259</v>
      </c>
      <c r="D210" s="62">
        <f>IFERROR(INDEX(Metas!$D$2:$D$104, MATCH(E210,Metas!$E$2:$E$104, 0)), "Não encontrado")</f>
        <v>170</v>
      </c>
      <c r="E210" s="82" t="s">
        <v>143</v>
      </c>
      <c r="F210" s="82" t="s">
        <v>455</v>
      </c>
      <c r="G210" s="62" t="str">
        <f t="shared" ca="1" si="14"/>
        <v>Concluído</v>
      </c>
      <c r="H210" s="99">
        <v>45950</v>
      </c>
      <c r="I210" s="73">
        <v>1</v>
      </c>
      <c r="J210" s="53">
        <f t="shared" si="13"/>
        <v>23.841059602649004</v>
      </c>
      <c r="K210" s="84">
        <v>45901</v>
      </c>
      <c r="L210" s="85">
        <v>45960</v>
      </c>
      <c r="M210" s="68">
        <f t="shared" si="15"/>
        <v>60</v>
      </c>
      <c r="N210" s="69">
        <f>IFERROR(INDEX(Tabela3[ID_Responsavel], MATCH(O210,Tabela3[[Responsáveis ]], 0)), "Não encontrado")</f>
        <v>21</v>
      </c>
      <c r="O210" s="58" t="s">
        <v>142</v>
      </c>
      <c r="P210" s="59" t="s">
        <v>19</v>
      </c>
      <c r="Q210" s="60" t="s">
        <v>456</v>
      </c>
    </row>
    <row r="211" spans="1:17" ht="16.5" hidden="1">
      <c r="A211" s="117">
        <f>IFERROR(INDEX(Tabela2[ID_Area], MATCH(B211,Tabela2[Area], 0)), "Não encontrado")</f>
        <v>1003</v>
      </c>
      <c r="B211" s="47" t="s">
        <v>92</v>
      </c>
      <c r="C211" s="48" t="s">
        <v>55</v>
      </c>
      <c r="D211" s="62">
        <f>IFERROR(INDEX(Metas!$D$2:$D$104, MATCH(E211,Metas!$E$2:$E$104, 0)), "Não encontrado")</f>
        <v>171</v>
      </c>
      <c r="E211" s="82" t="s">
        <v>144</v>
      </c>
      <c r="F211" s="82" t="s">
        <v>457</v>
      </c>
      <c r="G211" s="62" t="str">
        <f t="shared" ca="1" si="14"/>
        <v>Concluído</v>
      </c>
      <c r="H211" s="99">
        <v>45682</v>
      </c>
      <c r="I211" s="73">
        <v>1</v>
      </c>
      <c r="J211" s="53">
        <f t="shared" si="13"/>
        <v>10.219780219780221</v>
      </c>
      <c r="K211" s="84">
        <v>45658</v>
      </c>
      <c r="L211" s="85">
        <v>45688</v>
      </c>
      <c r="M211" s="68">
        <f t="shared" si="15"/>
        <v>31</v>
      </c>
      <c r="N211" s="69">
        <f>IFERROR(INDEX(Tabela3[ID_Responsavel], MATCH(O211,Tabela3[[Responsáveis ]], 0)), "Não encontrado")</f>
        <v>21</v>
      </c>
      <c r="O211" s="58" t="s">
        <v>142</v>
      </c>
      <c r="P211" s="59" t="s">
        <v>19</v>
      </c>
      <c r="Q211" s="60" t="s">
        <v>458</v>
      </c>
    </row>
    <row r="212" spans="1:17" ht="16.5" hidden="1">
      <c r="A212" s="113">
        <f>IFERROR(INDEX(Tabela2[ID_Area], MATCH(B212,Tabela2[Area], 0)), "Não encontrado")</f>
        <v>1003</v>
      </c>
      <c r="B212" s="47" t="s">
        <v>92</v>
      </c>
      <c r="C212" s="48" t="s">
        <v>55</v>
      </c>
      <c r="D212" s="62">
        <f>IFERROR(INDEX(Metas!$D$2:$D$104, MATCH(E212,Metas!$E$2:$E$104, 0)), "Não encontrado")</f>
        <v>171</v>
      </c>
      <c r="E212" s="82" t="s">
        <v>144</v>
      </c>
      <c r="F212" s="82" t="s">
        <v>459</v>
      </c>
      <c r="G212" s="62" t="str">
        <f t="shared" ca="1" si="14"/>
        <v>Concluído</v>
      </c>
      <c r="H212" s="99">
        <v>45747</v>
      </c>
      <c r="I212" s="73">
        <v>1</v>
      </c>
      <c r="J212" s="53">
        <f t="shared" si="13"/>
        <v>19.450549450549453</v>
      </c>
      <c r="K212" s="84">
        <v>45689</v>
      </c>
      <c r="L212" s="85">
        <v>45747</v>
      </c>
      <c r="M212" s="68">
        <f t="shared" si="15"/>
        <v>59</v>
      </c>
      <c r="N212" s="69">
        <f>IFERROR(INDEX(Tabela3[ID_Responsavel], MATCH(O212,Tabela3[[Responsáveis ]], 0)), "Não encontrado")</f>
        <v>21</v>
      </c>
      <c r="O212" s="58" t="s">
        <v>142</v>
      </c>
      <c r="P212" s="59" t="s">
        <v>19</v>
      </c>
      <c r="Q212" s="60" t="s">
        <v>460</v>
      </c>
    </row>
    <row r="213" spans="1:17" ht="16.5" hidden="1">
      <c r="A213" s="117">
        <f>IFERROR(INDEX(Tabela2[ID_Area], MATCH(B213,Tabela2[Area], 0)), "Não encontrado")</f>
        <v>1003</v>
      </c>
      <c r="B213" s="47" t="s">
        <v>92</v>
      </c>
      <c r="C213" s="48" t="s">
        <v>55</v>
      </c>
      <c r="D213" s="62">
        <f>IFERROR(INDEX(Metas!$D$2:$D$104, MATCH(E213,Metas!$E$2:$E$104, 0)), "Não encontrado")</f>
        <v>171</v>
      </c>
      <c r="E213" s="82" t="s">
        <v>144</v>
      </c>
      <c r="F213" s="82" t="s">
        <v>461</v>
      </c>
      <c r="G213" s="62" t="str">
        <f t="shared" ca="1" si="14"/>
        <v>Concluído</v>
      </c>
      <c r="H213" s="99">
        <v>45786</v>
      </c>
      <c r="I213" s="73">
        <v>1</v>
      </c>
      <c r="J213" s="53">
        <f t="shared" si="13"/>
        <v>20.109890109890109</v>
      </c>
      <c r="K213" s="84">
        <v>45748</v>
      </c>
      <c r="L213" s="85">
        <v>45808</v>
      </c>
      <c r="M213" s="68">
        <f t="shared" si="15"/>
        <v>61</v>
      </c>
      <c r="N213" s="69">
        <f>IFERROR(INDEX(Tabela3[ID_Responsavel], MATCH(O213,Tabela3[[Responsáveis ]], 0)), "Não encontrado")</f>
        <v>21</v>
      </c>
      <c r="O213" s="58" t="s">
        <v>142</v>
      </c>
      <c r="P213" s="59" t="s">
        <v>19</v>
      </c>
      <c r="Q213" s="100" t="s">
        <v>462</v>
      </c>
    </row>
    <row r="214" spans="1:17" ht="16.5" hidden="1">
      <c r="A214" s="113">
        <f>IFERROR(INDEX(Tabela2[ID_Area], MATCH(B214,Tabela2[Area], 0)), "Não encontrado")</f>
        <v>1003</v>
      </c>
      <c r="B214" s="47" t="s">
        <v>92</v>
      </c>
      <c r="C214" s="48" t="s">
        <v>55</v>
      </c>
      <c r="D214" s="62">
        <f>IFERROR(INDEX(Metas!$D$2:$D$104, MATCH(E214,Metas!$E$2:$E$104, 0)), "Não encontrado")</f>
        <v>171</v>
      </c>
      <c r="E214" s="82" t="s">
        <v>144</v>
      </c>
      <c r="F214" s="82" t="s">
        <v>463</v>
      </c>
      <c r="G214" s="62" t="str">
        <f t="shared" ca="1" si="14"/>
        <v>Concluído</v>
      </c>
      <c r="H214" s="99">
        <v>45838</v>
      </c>
      <c r="I214" s="73">
        <v>1</v>
      </c>
      <c r="J214" s="53">
        <f t="shared" si="13"/>
        <v>9.8901098901098905</v>
      </c>
      <c r="K214" s="84">
        <v>45809</v>
      </c>
      <c r="L214" s="85">
        <v>45838</v>
      </c>
      <c r="M214" s="68">
        <f t="shared" si="15"/>
        <v>30</v>
      </c>
      <c r="N214" s="69">
        <f>IFERROR(INDEX(Tabela3[ID_Responsavel], MATCH(O214,Tabela3[[Responsáveis ]], 0)), "Não encontrado")</f>
        <v>21</v>
      </c>
      <c r="O214" s="58" t="s">
        <v>142</v>
      </c>
      <c r="P214" s="59" t="s">
        <v>19</v>
      </c>
      <c r="Q214" s="60" t="s">
        <v>462</v>
      </c>
    </row>
    <row r="215" spans="1:17" ht="16.5" hidden="1">
      <c r="A215" s="117">
        <f>IFERROR(INDEX(Tabela2[ID_Area], MATCH(B215,Tabela2[Area], 0)), "Não encontrado")</f>
        <v>1003</v>
      </c>
      <c r="B215" s="47" t="s">
        <v>92</v>
      </c>
      <c r="C215" s="48" t="s">
        <v>55</v>
      </c>
      <c r="D215" s="62">
        <f>IFERROR(INDEX(Metas!$D$2:$D$104, MATCH(E215,Metas!$E$2:$E$104, 0)), "Não encontrado")</f>
        <v>171</v>
      </c>
      <c r="E215" s="82" t="s">
        <v>144</v>
      </c>
      <c r="F215" s="82" t="s">
        <v>464</v>
      </c>
      <c r="G215" s="62" t="str">
        <f t="shared" ca="1" si="14"/>
        <v>Concluído</v>
      </c>
      <c r="H215" s="99">
        <v>45870</v>
      </c>
      <c r="I215" s="73">
        <v>1</v>
      </c>
      <c r="J215" s="53">
        <f t="shared" si="13"/>
        <v>60.329670329670328</v>
      </c>
      <c r="K215" s="84">
        <v>45839</v>
      </c>
      <c r="L215" s="85">
        <v>46021</v>
      </c>
      <c r="M215" s="68">
        <f t="shared" si="15"/>
        <v>183</v>
      </c>
      <c r="N215" s="69">
        <f>IFERROR(INDEX(Tabela3[ID_Responsavel], MATCH(O215,Tabela3[[Responsáveis ]], 0)), "Não encontrado")</f>
        <v>21</v>
      </c>
      <c r="O215" s="58" t="s">
        <v>142</v>
      </c>
      <c r="P215" s="59" t="s">
        <v>19</v>
      </c>
      <c r="Q215" s="60" t="s">
        <v>462</v>
      </c>
    </row>
    <row r="216" spans="1:17" ht="16.5" hidden="1">
      <c r="A216" s="113">
        <f>IFERROR(INDEX(Tabela2[ID_Area], MATCH(B216,Tabela2[Area], 0)), "Não encontrado")</f>
        <v>1003</v>
      </c>
      <c r="B216" s="47" t="s">
        <v>92</v>
      </c>
      <c r="C216" s="48" t="s">
        <v>55</v>
      </c>
      <c r="D216" s="62">
        <f>IFERROR(INDEX(Metas!$D$2:$D$104, MATCH(E216,Metas!$E$2:$E$104, 0)), "Não encontrado")</f>
        <v>172</v>
      </c>
      <c r="E216" s="82" t="s">
        <v>145</v>
      </c>
      <c r="F216" s="82" t="s">
        <v>465</v>
      </c>
      <c r="G216" s="62" t="str">
        <f t="shared" ca="1" si="14"/>
        <v>Concluído</v>
      </c>
      <c r="H216" s="99">
        <v>45672</v>
      </c>
      <c r="I216" s="73">
        <v>1</v>
      </c>
      <c r="J216" s="53">
        <f t="shared" si="13"/>
        <v>20.224719101123593</v>
      </c>
      <c r="K216" s="84">
        <v>45658</v>
      </c>
      <c r="L216" s="85">
        <v>45672</v>
      </c>
      <c r="M216" s="68">
        <f t="shared" si="15"/>
        <v>15</v>
      </c>
      <c r="N216" s="69">
        <f>IFERROR(INDEX(Tabela3[ID_Responsavel], MATCH(O216,Tabela3[[Responsáveis ]], 0)), "Não encontrado")</f>
        <v>21</v>
      </c>
      <c r="O216" s="58" t="s">
        <v>142</v>
      </c>
      <c r="P216" s="59" t="s">
        <v>19</v>
      </c>
      <c r="Q216" s="60" t="s">
        <v>466</v>
      </c>
    </row>
    <row r="217" spans="1:17" ht="16.5" hidden="1">
      <c r="A217" s="117">
        <f>IFERROR(INDEX(Tabela2[ID_Area], MATCH(B217,Tabela2[Area], 0)), "Não encontrado")</f>
        <v>1003</v>
      </c>
      <c r="B217" s="47" t="s">
        <v>92</v>
      </c>
      <c r="C217" s="48" t="s">
        <v>55</v>
      </c>
      <c r="D217" s="62">
        <f>IFERROR(INDEX(Metas!$D$2:$D$104, MATCH(E217,Metas!$E$2:$E$104, 0)), "Não encontrado")</f>
        <v>172</v>
      </c>
      <c r="E217" s="82" t="s">
        <v>145</v>
      </c>
      <c r="F217" s="82" t="s">
        <v>467</v>
      </c>
      <c r="G217" s="62" t="str">
        <f t="shared" ca="1" si="14"/>
        <v>Concluído</v>
      </c>
      <c r="H217" s="99">
        <v>45715</v>
      </c>
      <c r="I217" s="73">
        <v>1</v>
      </c>
      <c r="J217" s="53">
        <f t="shared" si="13"/>
        <v>59.325842696629209</v>
      </c>
      <c r="K217" s="84">
        <v>45673</v>
      </c>
      <c r="L217" s="85">
        <v>45716</v>
      </c>
      <c r="M217" s="68">
        <f t="shared" si="15"/>
        <v>44</v>
      </c>
      <c r="N217" s="69">
        <f>IFERROR(INDEX(Tabela3[ID_Responsavel], MATCH(O217,Tabela3[[Responsáveis ]], 0)), "Não encontrado")</f>
        <v>21</v>
      </c>
      <c r="O217" s="58" t="s">
        <v>142</v>
      </c>
      <c r="P217" s="59" t="s">
        <v>19</v>
      </c>
      <c r="Q217" s="60" t="s">
        <v>468</v>
      </c>
    </row>
    <row r="218" spans="1:17" ht="16.5" hidden="1">
      <c r="A218" s="113">
        <f>IFERROR(INDEX(Tabela2[ID_Area], MATCH(B218,Tabela2[Area], 0)), "Não encontrado")</f>
        <v>1003</v>
      </c>
      <c r="B218" s="47" t="s">
        <v>92</v>
      </c>
      <c r="C218" s="48" t="s">
        <v>55</v>
      </c>
      <c r="D218" s="62">
        <f>IFERROR(INDEX(Metas!$D$2:$D$104, MATCH(E218,Metas!$E$2:$E$104, 0)), "Não encontrado")</f>
        <v>172</v>
      </c>
      <c r="E218" s="82" t="s">
        <v>145</v>
      </c>
      <c r="F218" s="82" t="s">
        <v>469</v>
      </c>
      <c r="G218" s="62" t="str">
        <f t="shared" ca="1" si="14"/>
        <v>Concluído</v>
      </c>
      <c r="H218" s="99">
        <v>45716</v>
      </c>
      <c r="I218" s="73">
        <v>1</v>
      </c>
      <c r="J218" s="53">
        <f t="shared" si="13"/>
        <v>20.224719101123593</v>
      </c>
      <c r="K218" s="84">
        <v>45717</v>
      </c>
      <c r="L218" s="85">
        <v>45731</v>
      </c>
      <c r="M218" s="68">
        <f t="shared" si="15"/>
        <v>15</v>
      </c>
      <c r="N218" s="69">
        <f>IFERROR(INDEX(Tabela3[ID_Responsavel], MATCH(O218,Tabela3[[Responsáveis ]], 0)), "Não encontrado")</f>
        <v>21</v>
      </c>
      <c r="O218" s="58" t="s">
        <v>142</v>
      </c>
      <c r="P218" s="59" t="s">
        <v>19</v>
      </c>
      <c r="Q218" s="60" t="s">
        <v>468</v>
      </c>
    </row>
    <row r="219" spans="1:17" ht="16.5" hidden="1">
      <c r="A219" s="117">
        <f>IFERROR(INDEX(Tabela2[ID_Area], MATCH(B219,Tabela2[Area], 0)), "Não encontrado")</f>
        <v>1003</v>
      </c>
      <c r="B219" s="47" t="s">
        <v>92</v>
      </c>
      <c r="C219" s="48" t="s">
        <v>55</v>
      </c>
      <c r="D219" s="62">
        <f>IFERROR(INDEX(Metas!$D$2:$D$104, MATCH(E219,Metas!$E$2:$E$104, 0)), "Não encontrado")</f>
        <v>172</v>
      </c>
      <c r="E219" s="82" t="s">
        <v>145</v>
      </c>
      <c r="F219" s="82" t="s">
        <v>470</v>
      </c>
      <c r="G219" s="62" t="str">
        <f t="shared" ca="1" si="14"/>
        <v>Concluído</v>
      </c>
      <c r="H219" s="99">
        <v>45746</v>
      </c>
      <c r="I219" s="73">
        <v>1</v>
      </c>
      <c r="J219" s="53">
        <f t="shared" si="13"/>
        <v>20.224719101123593</v>
      </c>
      <c r="K219" s="84">
        <v>45732</v>
      </c>
      <c r="L219" s="85">
        <v>45746</v>
      </c>
      <c r="M219" s="68">
        <f t="shared" si="15"/>
        <v>15</v>
      </c>
      <c r="N219" s="69">
        <f>IFERROR(INDEX(Tabela3[ID_Responsavel], MATCH(O219,Tabela3[[Responsáveis ]], 0)), "Não encontrado")</f>
        <v>21</v>
      </c>
      <c r="O219" s="58" t="s">
        <v>142</v>
      </c>
      <c r="P219" s="59" t="s">
        <v>19</v>
      </c>
      <c r="Q219" s="60" t="s">
        <v>471</v>
      </c>
    </row>
    <row r="220" spans="1:17" ht="16.5" hidden="1">
      <c r="A220" s="113">
        <f>IFERROR(INDEX(Tabela2[ID_Area], MATCH(B220,Tabela2[Area], 0)), "Não encontrado")</f>
        <v>1003</v>
      </c>
      <c r="B220" s="47" t="s">
        <v>92</v>
      </c>
      <c r="C220" s="48" t="s">
        <v>259</v>
      </c>
      <c r="D220" s="62">
        <f>IFERROR(INDEX(Metas!$D$2:$D$104, MATCH(E220,Metas!$E$2:$E$104, 0)), "Não encontrado")</f>
        <v>173</v>
      </c>
      <c r="E220" s="82" t="s">
        <v>146</v>
      </c>
      <c r="F220" s="82" t="s">
        <v>472</v>
      </c>
      <c r="G220" s="62" t="str">
        <f t="shared" ca="1" si="14"/>
        <v>Concluído</v>
      </c>
      <c r="H220" s="99">
        <v>45698</v>
      </c>
      <c r="I220" s="73">
        <v>1</v>
      </c>
      <c r="J220" s="53">
        <f t="shared" si="13"/>
        <v>2.8505747126436778</v>
      </c>
      <c r="K220" s="84">
        <v>45658</v>
      </c>
      <c r="L220" s="85">
        <v>45688</v>
      </c>
      <c r="M220" s="68">
        <f t="shared" si="15"/>
        <v>31</v>
      </c>
      <c r="N220" s="69">
        <f>IFERROR(INDEX(Tabela3[ID_Responsavel], MATCH(O220,Tabela3[[Responsáveis ]], 0)), "Não encontrado")</f>
        <v>21</v>
      </c>
      <c r="O220" s="58" t="s">
        <v>142</v>
      </c>
      <c r="P220" s="59" t="s">
        <v>19</v>
      </c>
      <c r="Q220" s="60" t="s">
        <v>473</v>
      </c>
    </row>
    <row r="221" spans="1:17" ht="16.5" hidden="1">
      <c r="A221" s="117">
        <f>IFERROR(INDEX(Tabela2[ID_Area], MATCH(B221,Tabela2[Area], 0)), "Não encontrado")</f>
        <v>1003</v>
      </c>
      <c r="B221" s="47" t="s">
        <v>92</v>
      </c>
      <c r="C221" s="48" t="s">
        <v>259</v>
      </c>
      <c r="D221" s="62">
        <f>IFERROR(INDEX(Metas!$D$2:$D$104, MATCH(E221,Metas!$E$2:$E$104, 0)), "Não encontrado")</f>
        <v>173</v>
      </c>
      <c r="E221" s="82" t="s">
        <v>146</v>
      </c>
      <c r="F221" s="82" t="s">
        <v>474</v>
      </c>
      <c r="G221" s="62" t="str">
        <f t="shared" ca="1" si="14"/>
        <v>Concluído</v>
      </c>
      <c r="H221" s="99">
        <v>45698</v>
      </c>
      <c r="I221" s="73">
        <v>1</v>
      </c>
      <c r="J221" s="53">
        <f t="shared" si="13"/>
        <v>2.8505747126436778</v>
      </c>
      <c r="K221" s="84">
        <v>45658</v>
      </c>
      <c r="L221" s="85">
        <v>45688</v>
      </c>
      <c r="M221" s="68">
        <f t="shared" si="15"/>
        <v>31</v>
      </c>
      <c r="N221" s="69">
        <f>IFERROR(INDEX(Tabela3[ID_Responsavel], MATCH(O221,Tabela3[[Responsáveis ]], 0)), "Não encontrado")</f>
        <v>21</v>
      </c>
      <c r="O221" s="58" t="s">
        <v>142</v>
      </c>
      <c r="P221" s="59" t="s">
        <v>19</v>
      </c>
      <c r="Q221" s="60" t="s">
        <v>475</v>
      </c>
    </row>
    <row r="222" spans="1:17" ht="16.5" hidden="1">
      <c r="A222" s="113">
        <f>IFERROR(INDEX(Tabela2[ID_Area], MATCH(B222,Tabela2[Area], 0)), "Não encontrado")</f>
        <v>1003</v>
      </c>
      <c r="B222" s="47" t="s">
        <v>92</v>
      </c>
      <c r="C222" s="48" t="s">
        <v>259</v>
      </c>
      <c r="D222" s="62">
        <f>IFERROR(INDEX(Metas!$D$2:$D$104, MATCH(E222,Metas!$E$2:$E$104, 0)), "Não encontrado")</f>
        <v>173</v>
      </c>
      <c r="E222" s="82" t="s">
        <v>146</v>
      </c>
      <c r="F222" s="82" t="s">
        <v>476</v>
      </c>
      <c r="G222" s="62" t="str">
        <f t="shared" ca="1" si="14"/>
        <v>Concluído</v>
      </c>
      <c r="H222" s="99">
        <v>45698</v>
      </c>
      <c r="I222" s="73">
        <v>1</v>
      </c>
      <c r="J222" s="53">
        <f t="shared" si="13"/>
        <v>19.402298850574713</v>
      </c>
      <c r="K222" s="84">
        <v>45689</v>
      </c>
      <c r="L222" s="85">
        <v>45899</v>
      </c>
      <c r="M222" s="68">
        <f t="shared" si="15"/>
        <v>211</v>
      </c>
      <c r="N222" s="69">
        <f>IFERROR(INDEX(Tabela3[ID_Responsavel], MATCH(O222,Tabela3[[Responsáveis ]], 0)), "Não encontrado")</f>
        <v>21</v>
      </c>
      <c r="O222" s="58" t="s">
        <v>142</v>
      </c>
      <c r="P222" s="59" t="s">
        <v>19</v>
      </c>
      <c r="Q222" s="60" t="s">
        <v>477</v>
      </c>
    </row>
    <row r="223" spans="1:17" ht="16.5" hidden="1">
      <c r="A223" s="117">
        <f>IFERROR(INDEX(Tabela2[ID_Area], MATCH(B223,Tabela2[Area], 0)), "Não encontrado")</f>
        <v>1003</v>
      </c>
      <c r="B223" s="47" t="s">
        <v>92</v>
      </c>
      <c r="C223" s="48" t="s">
        <v>259</v>
      </c>
      <c r="D223" s="62">
        <f>IFERROR(INDEX(Metas!$D$2:$D$104, MATCH(E223,Metas!$E$2:$E$104, 0)), "Não encontrado")</f>
        <v>173</v>
      </c>
      <c r="E223" s="82" t="s">
        <v>146</v>
      </c>
      <c r="F223" s="82" t="s">
        <v>478</v>
      </c>
      <c r="G223" s="62" t="str">
        <f t="shared" ca="1" si="14"/>
        <v>Concluído</v>
      </c>
      <c r="H223" s="99">
        <v>45899</v>
      </c>
      <c r="I223" s="73">
        <v>1</v>
      </c>
      <c r="J223" s="53">
        <f t="shared" si="13"/>
        <v>19.402298850574713</v>
      </c>
      <c r="K223" s="84">
        <v>45689</v>
      </c>
      <c r="L223" s="85">
        <v>45899</v>
      </c>
      <c r="M223" s="68">
        <f t="shared" si="15"/>
        <v>211</v>
      </c>
      <c r="N223" s="69">
        <f>IFERROR(INDEX(Tabela3[ID_Responsavel], MATCH(O223,Tabela3[[Responsáveis ]], 0)), "Não encontrado")</f>
        <v>21</v>
      </c>
      <c r="O223" s="58" t="s">
        <v>142</v>
      </c>
      <c r="P223" s="59" t="s">
        <v>19</v>
      </c>
      <c r="Q223" s="60" t="s">
        <v>479</v>
      </c>
    </row>
    <row r="224" spans="1:17" ht="30.75" hidden="1">
      <c r="A224" s="113">
        <f>IFERROR(INDEX(Tabela2[ID_Area], MATCH(B224,Tabela2[Area], 0)), "Não encontrado")</f>
        <v>1003</v>
      </c>
      <c r="B224" s="47" t="s">
        <v>92</v>
      </c>
      <c r="C224" s="48" t="s">
        <v>259</v>
      </c>
      <c r="D224" s="62">
        <f>IFERROR(INDEX(Metas!$D$2:$D$104, MATCH(E224,Metas!$E$2:$E$104, 0)), "Não encontrado")</f>
        <v>173</v>
      </c>
      <c r="E224" s="82" t="s">
        <v>146</v>
      </c>
      <c r="F224" s="82" t="s">
        <v>480</v>
      </c>
      <c r="G224" s="62" t="str">
        <f t="shared" ca="1" si="14"/>
        <v>Concluído</v>
      </c>
      <c r="H224" s="99">
        <v>45930</v>
      </c>
      <c r="I224" s="73">
        <v>1</v>
      </c>
      <c r="J224" s="53">
        <f t="shared" si="13"/>
        <v>22.25287356321839</v>
      </c>
      <c r="K224" s="84">
        <v>45689</v>
      </c>
      <c r="L224" s="85">
        <v>45930</v>
      </c>
      <c r="M224" s="68">
        <f t="shared" si="15"/>
        <v>242</v>
      </c>
      <c r="N224" s="69">
        <f>IFERROR(INDEX(Tabela3[ID_Responsavel], MATCH(O224,Tabela3[[Responsáveis ]], 0)), "Não encontrado")</f>
        <v>21</v>
      </c>
      <c r="O224" s="58" t="s">
        <v>142</v>
      </c>
      <c r="P224" s="59" t="s">
        <v>19</v>
      </c>
      <c r="Q224" s="100" t="s">
        <v>481</v>
      </c>
    </row>
    <row r="225" spans="1:17" ht="16.5" hidden="1">
      <c r="A225" s="117">
        <f>IFERROR(INDEX(Tabela2[ID_Area], MATCH(B225,Tabela2[Area], 0)), "Não encontrado")</f>
        <v>1003</v>
      </c>
      <c r="B225" s="47" t="s">
        <v>92</v>
      </c>
      <c r="C225" s="48" t="s">
        <v>259</v>
      </c>
      <c r="D225" s="62">
        <f>IFERROR(INDEX(Metas!$D$2:$D$104, MATCH(E225,Metas!$E$2:$E$104, 0)), "Não encontrado")</f>
        <v>173</v>
      </c>
      <c r="E225" s="82" t="s">
        <v>146</v>
      </c>
      <c r="F225" s="82" t="s">
        <v>482</v>
      </c>
      <c r="G225" s="62" t="str">
        <f t="shared" ca="1" si="14"/>
        <v>Atrasado</v>
      </c>
      <c r="H225" s="101" t="s">
        <v>198</v>
      </c>
      <c r="I225" s="73">
        <v>0.7</v>
      </c>
      <c r="J225" s="53">
        <f t="shared" si="13"/>
        <v>30.712643678160919</v>
      </c>
      <c r="K225" s="84">
        <v>45689</v>
      </c>
      <c r="L225" s="85">
        <v>46022</v>
      </c>
      <c r="M225" s="68">
        <f t="shared" si="15"/>
        <v>334</v>
      </c>
      <c r="N225" s="69">
        <f>IFERROR(INDEX(Tabela3[ID_Responsavel], MATCH(O225,Tabela3[[Responsáveis ]], 0)), "Não encontrado")</f>
        <v>21</v>
      </c>
      <c r="O225" s="58" t="s">
        <v>142</v>
      </c>
      <c r="P225" s="59" t="s">
        <v>19</v>
      </c>
      <c r="Q225" s="60" t="s">
        <v>198</v>
      </c>
    </row>
    <row r="226" spans="1:17" ht="16.5" hidden="1">
      <c r="A226" s="113">
        <f>IFERROR(INDEX(Tabela2[ID_Area], MATCH(B226,Tabela2[Area], 0)), "Não encontrado")</f>
        <v>1003</v>
      </c>
      <c r="B226" s="47" t="s">
        <v>92</v>
      </c>
      <c r="C226" s="48" t="s">
        <v>259</v>
      </c>
      <c r="D226" s="62">
        <f>IFERROR(INDEX(Metas!$D$2:$D$104, MATCH(E226,Metas!$E$2:$E$104, 0)), "Não encontrado")</f>
        <v>173</v>
      </c>
      <c r="E226" s="82" t="s">
        <v>146</v>
      </c>
      <c r="F226" s="82" t="s">
        <v>483</v>
      </c>
      <c r="G226" s="62" t="str">
        <f t="shared" ca="1" si="14"/>
        <v>Atrasado</v>
      </c>
      <c r="H226" s="101" t="s">
        <v>198</v>
      </c>
      <c r="I226" s="73">
        <v>0.7</v>
      </c>
      <c r="J226" s="53">
        <f t="shared" si="13"/>
        <v>22.52873563218391</v>
      </c>
      <c r="K226" s="84">
        <v>45778</v>
      </c>
      <c r="L226" s="85">
        <v>46022</v>
      </c>
      <c r="M226" s="68">
        <f t="shared" si="15"/>
        <v>245</v>
      </c>
      <c r="N226" s="69">
        <f>IFERROR(INDEX(Tabela3[ID_Responsavel], MATCH(O226,Tabela3[[Responsáveis ]], 0)), "Não encontrado")</f>
        <v>21</v>
      </c>
      <c r="O226" s="58" t="s">
        <v>142</v>
      </c>
      <c r="P226" s="59" t="s">
        <v>19</v>
      </c>
      <c r="Q226" s="60" t="s">
        <v>198</v>
      </c>
    </row>
    <row r="227" spans="1:17" ht="16.5" hidden="1">
      <c r="A227" s="117">
        <f>IFERROR(INDEX(Tabela2[ID_Area], MATCH(B227,Tabela2[Area], 0)), "Não encontrado")</f>
        <v>1003</v>
      </c>
      <c r="B227" s="47" t="s">
        <v>92</v>
      </c>
      <c r="C227" s="48" t="s">
        <v>55</v>
      </c>
      <c r="D227" s="62">
        <f>IFERROR(INDEX(Metas!$D$2:$D$104, MATCH(E227,Metas!$E$2:$E$104, 0)), "Não encontrado")</f>
        <v>174</v>
      </c>
      <c r="E227" s="82" t="s">
        <v>147</v>
      </c>
      <c r="F227" s="82" t="s">
        <v>484</v>
      </c>
      <c r="G227" s="62" t="str">
        <f t="shared" ca="1" si="14"/>
        <v>Concluído</v>
      </c>
      <c r="H227" s="99">
        <v>45702</v>
      </c>
      <c r="I227" s="73">
        <v>1</v>
      </c>
      <c r="J227" s="53">
        <f t="shared" si="13"/>
        <v>24.8</v>
      </c>
      <c r="K227" s="84">
        <v>45658</v>
      </c>
      <c r="L227" s="85">
        <v>45688</v>
      </c>
      <c r="M227" s="68">
        <f t="shared" si="15"/>
        <v>31</v>
      </c>
      <c r="N227" s="69">
        <f>IFERROR(INDEX(Tabela3[ID_Responsavel], MATCH(O227,Tabela3[[Responsáveis ]], 0)), "Não encontrado")</f>
        <v>21</v>
      </c>
      <c r="O227" s="58" t="s">
        <v>142</v>
      </c>
      <c r="P227" s="59" t="s">
        <v>19</v>
      </c>
      <c r="Q227" s="60" t="s">
        <v>485</v>
      </c>
    </row>
    <row r="228" spans="1:17" ht="16.5" hidden="1">
      <c r="A228" s="113">
        <f>IFERROR(INDEX(Tabela2[ID_Area], MATCH(B228,Tabela2[Area], 0)), "Não encontrado")</f>
        <v>1003</v>
      </c>
      <c r="B228" s="47" t="s">
        <v>92</v>
      </c>
      <c r="C228" s="48" t="s">
        <v>55</v>
      </c>
      <c r="D228" s="62">
        <f>IFERROR(INDEX(Metas!$D$2:$D$104, MATCH(E228,Metas!$E$2:$E$104, 0)), "Não encontrado")</f>
        <v>174</v>
      </c>
      <c r="E228" s="82" t="s">
        <v>147</v>
      </c>
      <c r="F228" s="82" t="s">
        <v>486</v>
      </c>
      <c r="G228" s="62" t="str">
        <f t="shared" ca="1" si="14"/>
        <v>Concluído</v>
      </c>
      <c r="H228" s="99">
        <v>45715</v>
      </c>
      <c r="I228" s="73">
        <v>1</v>
      </c>
      <c r="J228" s="53">
        <f t="shared" si="13"/>
        <v>22.400000000000002</v>
      </c>
      <c r="K228" s="84">
        <v>45689</v>
      </c>
      <c r="L228" s="85">
        <v>45716</v>
      </c>
      <c r="M228" s="68">
        <f t="shared" si="15"/>
        <v>28</v>
      </c>
      <c r="N228" s="69">
        <f>IFERROR(INDEX(Tabela3[ID_Responsavel], MATCH(O228,Tabela3[[Responsáveis ]], 0)), "Não encontrado")</f>
        <v>21</v>
      </c>
      <c r="O228" s="58" t="s">
        <v>142</v>
      </c>
      <c r="P228" s="59" t="s">
        <v>19</v>
      </c>
      <c r="Q228" s="60" t="s">
        <v>487</v>
      </c>
    </row>
    <row r="229" spans="1:17" ht="16.5" hidden="1">
      <c r="A229" s="117">
        <f>IFERROR(INDEX(Tabela2[ID_Area], MATCH(B229,Tabela2[Area], 0)), "Não encontrado")</f>
        <v>1003</v>
      </c>
      <c r="B229" s="47" t="s">
        <v>92</v>
      </c>
      <c r="C229" s="48" t="s">
        <v>55</v>
      </c>
      <c r="D229" s="62">
        <f>IFERROR(INDEX(Metas!$D$2:$D$104, MATCH(E229,Metas!$E$2:$E$104, 0)), "Não encontrado")</f>
        <v>174</v>
      </c>
      <c r="E229" s="82" t="s">
        <v>147</v>
      </c>
      <c r="F229" s="82" t="s">
        <v>488</v>
      </c>
      <c r="G229" s="62" t="str">
        <f t="shared" ca="1" si="14"/>
        <v>Concluído</v>
      </c>
      <c r="H229" s="99">
        <v>45717</v>
      </c>
      <c r="I229" s="73">
        <v>1</v>
      </c>
      <c r="J229" s="53">
        <f t="shared" si="13"/>
        <v>24.8</v>
      </c>
      <c r="K229" s="84">
        <v>45717</v>
      </c>
      <c r="L229" s="85">
        <v>45747</v>
      </c>
      <c r="M229" s="68">
        <f t="shared" si="15"/>
        <v>31</v>
      </c>
      <c r="N229" s="69">
        <f>IFERROR(INDEX(Tabela3[ID_Responsavel], MATCH(O229,Tabela3[[Responsáveis ]], 0)), "Não encontrado")</f>
        <v>21</v>
      </c>
      <c r="O229" s="58" t="s">
        <v>142</v>
      </c>
      <c r="P229" s="59" t="s">
        <v>19</v>
      </c>
      <c r="Q229" s="60" t="s">
        <v>198</v>
      </c>
    </row>
    <row r="230" spans="1:17" ht="30.75" hidden="1">
      <c r="A230" s="113">
        <f>IFERROR(INDEX(Tabela2[ID_Area], MATCH(B230,Tabela2[Area], 0)), "Não encontrado")</f>
        <v>1003</v>
      </c>
      <c r="B230" s="47" t="s">
        <v>92</v>
      </c>
      <c r="C230" s="48" t="s">
        <v>55</v>
      </c>
      <c r="D230" s="62">
        <f>IFERROR(INDEX(Metas!$D$2:$D$104, MATCH(E230,Metas!$E$2:$E$104, 0)), "Não encontrado")</f>
        <v>174</v>
      </c>
      <c r="E230" s="82" t="s">
        <v>147</v>
      </c>
      <c r="F230" s="82" t="s">
        <v>489</v>
      </c>
      <c r="G230" s="62" t="str">
        <f t="shared" ca="1" si="14"/>
        <v>Concluído</v>
      </c>
      <c r="H230" s="99">
        <v>45767</v>
      </c>
      <c r="I230" s="73">
        <v>1</v>
      </c>
      <c r="J230" s="53">
        <f t="shared" si="13"/>
        <v>24</v>
      </c>
      <c r="K230" s="84">
        <v>45748</v>
      </c>
      <c r="L230" s="85">
        <v>45777</v>
      </c>
      <c r="M230" s="68">
        <f t="shared" si="15"/>
        <v>30</v>
      </c>
      <c r="N230" s="69">
        <f>IFERROR(INDEX(Tabela3[ID_Responsavel], MATCH(O230,Tabela3[[Responsáveis ]], 0)), "Não encontrado")</f>
        <v>21</v>
      </c>
      <c r="O230" s="58" t="s">
        <v>142</v>
      </c>
      <c r="P230" s="59" t="s">
        <v>19</v>
      </c>
      <c r="Q230" s="100" t="s">
        <v>490</v>
      </c>
    </row>
    <row r="231" spans="1:17" ht="16.5" hidden="1">
      <c r="A231" s="117">
        <f>IFERROR(INDEX(Tabela2[ID_Area], MATCH(B231,Tabela2[Area], 0)), "Não encontrado")</f>
        <v>1003</v>
      </c>
      <c r="B231" s="47" t="s">
        <v>92</v>
      </c>
      <c r="C231" s="48" t="s">
        <v>55</v>
      </c>
      <c r="D231" s="62">
        <f>IFERROR(INDEX(Metas!$D$2:$D$104, MATCH(E231,Metas!$E$2:$E$104, 0)), "Não encontrado")</f>
        <v>174</v>
      </c>
      <c r="E231" s="82" t="s">
        <v>147</v>
      </c>
      <c r="F231" s="82" t="s">
        <v>491</v>
      </c>
      <c r="G231" s="62" t="str">
        <f t="shared" ca="1" si="14"/>
        <v>Concluído</v>
      </c>
      <c r="H231" s="99">
        <v>45786</v>
      </c>
      <c r="I231" s="73">
        <v>1</v>
      </c>
      <c r="J231" s="53">
        <f t="shared" si="13"/>
        <v>24</v>
      </c>
      <c r="K231" s="84">
        <v>45778</v>
      </c>
      <c r="L231" s="85">
        <v>45807</v>
      </c>
      <c r="M231" s="68">
        <f t="shared" si="15"/>
        <v>30</v>
      </c>
      <c r="N231" s="69">
        <f>IFERROR(INDEX(Tabela3[ID_Responsavel], MATCH(O231,Tabela3[[Responsáveis ]], 0)), "Não encontrado")</f>
        <v>21</v>
      </c>
      <c r="O231" s="58" t="s">
        <v>142</v>
      </c>
      <c r="P231" s="59" t="s">
        <v>19</v>
      </c>
      <c r="Q231" s="60" t="s">
        <v>492</v>
      </c>
    </row>
    <row r="232" spans="1:17" ht="30.75" hidden="1">
      <c r="A232" s="113">
        <f>IFERROR(INDEX(Tabela2[ID_Area], MATCH(B232,Tabela2[Area], 0)), "Não encontrado")</f>
        <v>1003</v>
      </c>
      <c r="B232" s="47" t="s">
        <v>92</v>
      </c>
      <c r="C232" s="48" t="s">
        <v>259</v>
      </c>
      <c r="D232" s="62">
        <f>IFERROR(INDEX(Metas!$D$2:$D$104, MATCH(E232,Metas!$E$2:$E$104, 0)), "Não encontrado")</f>
        <v>169</v>
      </c>
      <c r="E232" s="82" t="s">
        <v>141</v>
      </c>
      <c r="F232" s="82" t="s">
        <v>493</v>
      </c>
      <c r="G232" s="62" t="str">
        <f t="shared" ca="1" si="14"/>
        <v>Concluído</v>
      </c>
      <c r="H232" s="99">
        <v>45680</v>
      </c>
      <c r="I232" s="73">
        <v>1</v>
      </c>
      <c r="J232" s="53">
        <f t="shared" si="13"/>
        <v>2.7474150664697192</v>
      </c>
      <c r="K232" s="84">
        <v>45658</v>
      </c>
      <c r="L232" s="85">
        <v>45688</v>
      </c>
      <c r="M232" s="68">
        <f t="shared" si="15"/>
        <v>31</v>
      </c>
      <c r="N232" s="69">
        <f>IFERROR(INDEX(Tabela3[ID_Responsavel], MATCH(O232,Tabela3[[Responsáveis ]], 0)), "Não encontrado")</f>
        <v>21</v>
      </c>
      <c r="O232" s="58" t="s">
        <v>142</v>
      </c>
      <c r="P232" s="59" t="s">
        <v>19</v>
      </c>
      <c r="Q232" s="100" t="s">
        <v>494</v>
      </c>
    </row>
    <row r="233" spans="1:17" ht="30.75" hidden="1">
      <c r="A233" s="117">
        <f>IFERROR(INDEX(Tabela2[ID_Area], MATCH(B233,Tabela2[Area], 0)), "Não encontrado")</f>
        <v>1003</v>
      </c>
      <c r="B233" s="47" t="s">
        <v>92</v>
      </c>
      <c r="C233" s="48" t="s">
        <v>259</v>
      </c>
      <c r="D233" s="62">
        <f>IFERROR(INDEX(Metas!$D$2:$D$104, MATCH(E233,Metas!$E$2:$E$104, 0)), "Não encontrado")</f>
        <v>169</v>
      </c>
      <c r="E233" s="82" t="s">
        <v>141</v>
      </c>
      <c r="F233" s="82" t="s">
        <v>495</v>
      </c>
      <c r="G233" s="62" t="str">
        <f t="shared" ca="1" si="14"/>
        <v>Concluído</v>
      </c>
      <c r="H233" s="99">
        <v>45705</v>
      </c>
      <c r="I233" s="73">
        <v>1</v>
      </c>
      <c r="J233" s="53">
        <f t="shared" si="13"/>
        <v>2.4815361890694239</v>
      </c>
      <c r="K233" s="84">
        <v>45689</v>
      </c>
      <c r="L233" s="85">
        <v>45716</v>
      </c>
      <c r="M233" s="68">
        <f t="shared" si="15"/>
        <v>28</v>
      </c>
      <c r="N233" s="69">
        <f>IFERROR(INDEX(Tabela3[ID_Responsavel], MATCH(O233,Tabela3[[Responsáveis ]], 0)), "Não encontrado")</f>
        <v>21</v>
      </c>
      <c r="O233" s="58" t="s">
        <v>142</v>
      </c>
      <c r="P233" s="59" t="s">
        <v>19</v>
      </c>
      <c r="Q233" s="100" t="s">
        <v>494</v>
      </c>
    </row>
    <row r="234" spans="1:17" ht="30.75" hidden="1">
      <c r="A234" s="113">
        <f>IFERROR(INDEX(Tabela2[ID_Area], MATCH(B234,Tabela2[Area], 0)), "Não encontrado")</f>
        <v>1003</v>
      </c>
      <c r="B234" s="47" t="s">
        <v>92</v>
      </c>
      <c r="C234" s="48" t="s">
        <v>259</v>
      </c>
      <c r="D234" s="62">
        <f>IFERROR(INDEX(Metas!$D$2:$D$104, MATCH(E234,Metas!$E$2:$E$104, 0)), "Não encontrado")</f>
        <v>169</v>
      </c>
      <c r="E234" s="82" t="s">
        <v>141</v>
      </c>
      <c r="F234" s="82" t="s">
        <v>496</v>
      </c>
      <c r="G234" s="62" t="str">
        <f t="shared" ca="1" si="14"/>
        <v>Concluído</v>
      </c>
      <c r="H234" s="99">
        <v>45727</v>
      </c>
      <c r="I234" s="73">
        <v>1</v>
      </c>
      <c r="J234" s="53">
        <f t="shared" si="13"/>
        <v>2.4815361890694239</v>
      </c>
      <c r="K234" s="84">
        <v>45689</v>
      </c>
      <c r="L234" s="85">
        <v>45716</v>
      </c>
      <c r="M234" s="68">
        <f t="shared" si="15"/>
        <v>28</v>
      </c>
      <c r="N234" s="69">
        <f>IFERROR(INDEX(Tabela3[ID_Responsavel], MATCH(O234,Tabela3[[Responsáveis ]], 0)), "Não encontrado")</f>
        <v>21</v>
      </c>
      <c r="O234" s="58" t="s">
        <v>142</v>
      </c>
      <c r="P234" s="59" t="s">
        <v>19</v>
      </c>
      <c r="Q234" s="100" t="s">
        <v>497</v>
      </c>
    </row>
    <row r="235" spans="1:17" ht="45.75" hidden="1">
      <c r="A235" s="117">
        <f>IFERROR(INDEX(Tabela2[ID_Area], MATCH(B235,Tabela2[Area], 0)), "Não encontrado")</f>
        <v>1003</v>
      </c>
      <c r="B235" s="47" t="s">
        <v>92</v>
      </c>
      <c r="C235" s="48" t="s">
        <v>259</v>
      </c>
      <c r="D235" s="62">
        <f>IFERROR(INDEX(Metas!$D$2:$D$104, MATCH(E235,Metas!$E$2:$E$104, 0)), "Não encontrado")</f>
        <v>169</v>
      </c>
      <c r="E235" s="82" t="s">
        <v>141</v>
      </c>
      <c r="F235" s="82" t="s">
        <v>498</v>
      </c>
      <c r="G235" s="62" t="str">
        <f t="shared" ca="1" si="14"/>
        <v>Concluído</v>
      </c>
      <c r="H235" s="101" t="s">
        <v>198</v>
      </c>
      <c r="I235" s="73">
        <v>1</v>
      </c>
      <c r="J235" s="53">
        <f t="shared" si="13"/>
        <v>7.8877400295420976</v>
      </c>
      <c r="K235" s="84">
        <v>45689</v>
      </c>
      <c r="L235" s="85">
        <v>45777</v>
      </c>
      <c r="M235" s="68">
        <f t="shared" si="15"/>
        <v>89</v>
      </c>
      <c r="N235" s="69">
        <f>IFERROR(INDEX(Tabela3[ID_Responsavel], MATCH(O235,Tabela3[[Responsáveis ]], 0)), "Não encontrado")</f>
        <v>21</v>
      </c>
      <c r="O235" s="58" t="s">
        <v>142</v>
      </c>
      <c r="P235" s="59" t="s">
        <v>19</v>
      </c>
      <c r="Q235" s="100" t="s">
        <v>499</v>
      </c>
    </row>
    <row r="236" spans="1:17" ht="30.75" hidden="1">
      <c r="A236" s="113">
        <f>IFERROR(INDEX(Tabela2[ID_Area], MATCH(B236,Tabela2[Area], 0)), "Não encontrado")</f>
        <v>1003</v>
      </c>
      <c r="B236" s="47" t="s">
        <v>92</v>
      </c>
      <c r="C236" s="48" t="s">
        <v>259</v>
      </c>
      <c r="D236" s="62">
        <f>IFERROR(INDEX(Metas!$D$2:$D$104, MATCH(E236,Metas!$E$2:$E$104, 0)), "Não encontrado")</f>
        <v>169</v>
      </c>
      <c r="E236" s="82" t="s">
        <v>141</v>
      </c>
      <c r="F236" s="82" t="s">
        <v>500</v>
      </c>
      <c r="G236" s="62" t="str">
        <f t="shared" ca="1" si="14"/>
        <v>Concluído</v>
      </c>
      <c r="H236" s="101" t="s">
        <v>198</v>
      </c>
      <c r="I236" s="73">
        <v>1</v>
      </c>
      <c r="J236" s="53">
        <f t="shared" si="13"/>
        <v>7.8877400295420976</v>
      </c>
      <c r="K236" s="84">
        <v>45689</v>
      </c>
      <c r="L236" s="85">
        <v>45777</v>
      </c>
      <c r="M236" s="68">
        <f t="shared" si="15"/>
        <v>89</v>
      </c>
      <c r="N236" s="69">
        <f>IFERROR(INDEX(Tabela3[ID_Responsavel], MATCH(O236,Tabela3[[Responsáveis ]], 0)), "Não encontrado")</f>
        <v>21</v>
      </c>
      <c r="O236" s="58" t="s">
        <v>142</v>
      </c>
      <c r="P236" s="59" t="s">
        <v>19</v>
      </c>
      <c r="Q236" s="100" t="s">
        <v>501</v>
      </c>
    </row>
    <row r="237" spans="1:17" ht="16.5" hidden="1">
      <c r="A237" s="117">
        <f>IFERROR(INDEX(Tabela2[ID_Area], MATCH(B237,Tabela2[Area], 0)), "Não encontrado")</f>
        <v>1003</v>
      </c>
      <c r="B237" s="47" t="s">
        <v>92</v>
      </c>
      <c r="C237" s="48" t="s">
        <v>259</v>
      </c>
      <c r="D237" s="62">
        <f>IFERROR(INDEX(Metas!$D$2:$D$104, MATCH(E237,Metas!$E$2:$E$104, 0)), "Não encontrado")</f>
        <v>169</v>
      </c>
      <c r="E237" s="82" t="s">
        <v>141</v>
      </c>
      <c r="F237" s="82" t="s">
        <v>502</v>
      </c>
      <c r="G237" s="62" t="str">
        <f t="shared" ca="1" si="14"/>
        <v>Concluído</v>
      </c>
      <c r="H237" s="101" t="s">
        <v>198</v>
      </c>
      <c r="I237" s="73">
        <v>1</v>
      </c>
      <c r="J237" s="53">
        <f t="shared" si="13"/>
        <v>10.546528803545051</v>
      </c>
      <c r="K237" s="84">
        <v>45689</v>
      </c>
      <c r="L237" s="85">
        <v>45807</v>
      </c>
      <c r="M237" s="68">
        <f t="shared" si="15"/>
        <v>119</v>
      </c>
      <c r="N237" s="69">
        <f>IFERROR(INDEX(Tabela3[ID_Responsavel], MATCH(O237,Tabela3[[Responsáveis ]], 0)), "Não encontrado")</f>
        <v>21</v>
      </c>
      <c r="O237" s="58" t="s">
        <v>142</v>
      </c>
      <c r="P237" s="59" t="s">
        <v>19</v>
      </c>
      <c r="Q237" s="60" t="s">
        <v>503</v>
      </c>
    </row>
    <row r="238" spans="1:17" ht="16.5" hidden="1">
      <c r="A238" s="113">
        <f>IFERROR(INDEX(Tabela2[ID_Area], MATCH(B238,Tabela2[Area], 0)), "Não encontrado")</f>
        <v>1003</v>
      </c>
      <c r="B238" s="47" t="s">
        <v>92</v>
      </c>
      <c r="C238" s="48" t="s">
        <v>259</v>
      </c>
      <c r="D238" s="62">
        <f>IFERROR(INDEX(Metas!$D$2:$D$104, MATCH(E238,Metas!$E$2:$E$104, 0)), "Não encontrado")</f>
        <v>169</v>
      </c>
      <c r="E238" s="82" t="s">
        <v>141</v>
      </c>
      <c r="F238" s="82" t="s">
        <v>504</v>
      </c>
      <c r="G238" s="62" t="str">
        <f t="shared" ca="1" si="14"/>
        <v>Concluído</v>
      </c>
      <c r="H238" s="99">
        <v>45868</v>
      </c>
      <c r="I238" s="73">
        <v>1</v>
      </c>
      <c r="J238" s="53">
        <f t="shared" si="13"/>
        <v>5.3175775480059082</v>
      </c>
      <c r="K238" s="84">
        <v>45809</v>
      </c>
      <c r="L238" s="85">
        <v>45868</v>
      </c>
      <c r="M238" s="68">
        <f t="shared" si="15"/>
        <v>60</v>
      </c>
      <c r="N238" s="69">
        <f>IFERROR(INDEX(Tabela3[ID_Responsavel], MATCH(O238,Tabela3[[Responsáveis ]], 0)), "Não encontrado")</f>
        <v>21</v>
      </c>
      <c r="O238" s="58" t="s">
        <v>142</v>
      </c>
      <c r="P238" s="59" t="s">
        <v>19</v>
      </c>
      <c r="Q238" s="60" t="s">
        <v>198</v>
      </c>
    </row>
    <row r="239" spans="1:17" ht="16.5" hidden="1">
      <c r="A239" s="117">
        <f>IFERROR(INDEX(Tabela2[ID_Area], MATCH(B239,Tabela2[Area], 0)), "Não encontrado")</f>
        <v>1003</v>
      </c>
      <c r="B239" s="47" t="s">
        <v>92</v>
      </c>
      <c r="C239" s="48" t="s">
        <v>259</v>
      </c>
      <c r="D239" s="62">
        <f>IFERROR(INDEX(Metas!$D$2:$D$104, MATCH(E239,Metas!$E$2:$E$104, 0)), "Não encontrado")</f>
        <v>169</v>
      </c>
      <c r="E239" s="82" t="s">
        <v>141</v>
      </c>
      <c r="F239" s="82" t="s">
        <v>505</v>
      </c>
      <c r="G239" s="62" t="str">
        <f t="shared" ca="1" si="14"/>
        <v>Concluído</v>
      </c>
      <c r="H239" s="99">
        <v>45741</v>
      </c>
      <c r="I239" s="73">
        <v>1</v>
      </c>
      <c r="J239" s="53">
        <f t="shared" si="13"/>
        <v>5.140324963072378</v>
      </c>
      <c r="K239" s="84">
        <v>45689</v>
      </c>
      <c r="L239" s="85">
        <v>45746</v>
      </c>
      <c r="M239" s="68">
        <f t="shared" si="15"/>
        <v>58</v>
      </c>
      <c r="N239" s="69">
        <f>IFERROR(INDEX(Tabela3[ID_Responsavel], MATCH(O239,Tabela3[[Responsáveis ]], 0)), "Não encontrado")</f>
        <v>21</v>
      </c>
      <c r="O239" s="58" t="s">
        <v>142</v>
      </c>
      <c r="P239" s="59" t="s">
        <v>19</v>
      </c>
      <c r="Q239" s="60" t="s">
        <v>506</v>
      </c>
    </row>
    <row r="240" spans="1:17" ht="16.5" hidden="1">
      <c r="A240" s="113">
        <f>IFERROR(INDEX(Tabela2[ID_Area], MATCH(B240,Tabela2[Area], 0)), "Não encontrado")</f>
        <v>1003</v>
      </c>
      <c r="B240" s="47" t="s">
        <v>92</v>
      </c>
      <c r="C240" s="48" t="s">
        <v>259</v>
      </c>
      <c r="D240" s="62">
        <f>IFERROR(INDEX(Metas!$D$2:$D$104, MATCH(E240,Metas!$E$2:$E$104, 0)), "Não encontrado")</f>
        <v>169</v>
      </c>
      <c r="E240" s="82" t="s">
        <v>141</v>
      </c>
      <c r="F240" s="82" t="s">
        <v>507</v>
      </c>
      <c r="G240" s="62" t="str">
        <f t="shared" ca="1" si="14"/>
        <v>Concluído</v>
      </c>
      <c r="H240" s="99">
        <v>45930</v>
      </c>
      <c r="I240" s="73">
        <v>1</v>
      </c>
      <c r="J240" s="53">
        <f t="shared" si="13"/>
        <v>32.348596750369275</v>
      </c>
      <c r="K240" s="84">
        <v>45658</v>
      </c>
      <c r="L240" s="85">
        <v>46022</v>
      </c>
      <c r="M240" s="68">
        <f t="shared" si="15"/>
        <v>365</v>
      </c>
      <c r="N240" s="69">
        <f>IFERROR(INDEX(Tabela3[ID_Responsavel], MATCH(O240,Tabela3[[Responsáveis ]], 0)), "Não encontrado")</f>
        <v>21</v>
      </c>
      <c r="O240" s="58" t="s">
        <v>142</v>
      </c>
      <c r="P240" s="59" t="s">
        <v>19</v>
      </c>
      <c r="Q240" s="60" t="s">
        <v>508</v>
      </c>
    </row>
    <row r="241" spans="1:17" ht="16.5" hidden="1">
      <c r="A241" s="117">
        <f>IFERROR(INDEX(Tabela2[ID_Area], MATCH(B241,Tabela2[Area], 0)), "Não encontrado")</f>
        <v>1003</v>
      </c>
      <c r="B241" s="47" t="s">
        <v>92</v>
      </c>
      <c r="C241" s="48" t="s">
        <v>259</v>
      </c>
      <c r="D241" s="62">
        <f>IFERROR(INDEX(Metas!$D$2:$D$104, MATCH(E241,Metas!$E$2:$E$104, 0)), "Não encontrado")</f>
        <v>169</v>
      </c>
      <c r="E241" s="82" t="s">
        <v>141</v>
      </c>
      <c r="F241" s="82" t="s">
        <v>509</v>
      </c>
      <c r="G241" s="62" t="str">
        <f t="shared" ca="1" si="14"/>
        <v>Concluído</v>
      </c>
      <c r="H241" s="99">
        <v>45884</v>
      </c>
      <c r="I241" s="73">
        <v>1</v>
      </c>
      <c r="J241" s="53">
        <f t="shared" si="13"/>
        <v>18.96602658788774</v>
      </c>
      <c r="K241" s="84">
        <v>45778</v>
      </c>
      <c r="L241" s="85">
        <v>45991</v>
      </c>
      <c r="M241" s="68">
        <f t="shared" si="15"/>
        <v>214</v>
      </c>
      <c r="N241" s="69">
        <f>IFERROR(INDEX(Tabela3[ID_Responsavel], MATCH(O241,Tabela3[[Responsáveis ]], 0)), "Não encontrado")</f>
        <v>21</v>
      </c>
      <c r="O241" s="58" t="s">
        <v>142</v>
      </c>
      <c r="P241" s="59" t="s">
        <v>19</v>
      </c>
      <c r="Q241" s="60" t="s">
        <v>198</v>
      </c>
    </row>
    <row r="242" spans="1:17" ht="16.5" hidden="1">
      <c r="A242" s="113">
        <f>IFERROR(INDEX(Tabela2[ID_Area], MATCH(B242,Tabela2[Area], 0)), "Não encontrado")</f>
        <v>1003</v>
      </c>
      <c r="B242" s="47" t="s">
        <v>92</v>
      </c>
      <c r="C242" s="48" t="s">
        <v>259</v>
      </c>
      <c r="D242" s="62">
        <f>IFERROR(INDEX(Metas!$D$2:$D$104, MATCH(E242,Metas!$E$2:$E$104, 0)), "Não encontrado")</f>
        <v>169</v>
      </c>
      <c r="E242" s="82" t="s">
        <v>141</v>
      </c>
      <c r="F242" s="82" t="s">
        <v>510</v>
      </c>
      <c r="G242" s="62" t="str">
        <f t="shared" ca="1" si="14"/>
        <v>Atrasado</v>
      </c>
      <c r="H242" s="99">
        <v>46008</v>
      </c>
      <c r="I242" s="73">
        <v>0.85</v>
      </c>
      <c r="J242" s="53">
        <f t="shared" si="13"/>
        <v>24.194977843426884</v>
      </c>
      <c r="K242" s="84">
        <v>45658</v>
      </c>
      <c r="L242" s="85">
        <v>45930</v>
      </c>
      <c r="M242" s="68">
        <f t="shared" si="15"/>
        <v>273</v>
      </c>
      <c r="N242" s="69">
        <f>IFERROR(INDEX(Tabela3[ID_Responsavel], MATCH(O242,Tabela3[[Responsáveis ]], 0)), "Não encontrado")</f>
        <v>21</v>
      </c>
      <c r="O242" s="58" t="s">
        <v>142</v>
      </c>
      <c r="P242" s="59" t="s">
        <v>19</v>
      </c>
      <c r="Q242" s="60" t="s">
        <v>511</v>
      </c>
    </row>
    <row r="243" spans="1:17" ht="30.75" hidden="1">
      <c r="A243" s="117">
        <f>IFERROR(INDEX(Tabela2[ID_Area], MATCH(B243,Tabela2[Area], 0)), "Não encontrado")</f>
        <v>1003</v>
      </c>
      <c r="B243" s="47" t="s">
        <v>92</v>
      </c>
      <c r="C243" s="48" t="s">
        <v>259</v>
      </c>
      <c r="D243" s="62">
        <f>IFERROR(INDEX(Metas!$D$2:$D$104, MATCH(E243,Metas!$E$2:$E$104, 0)), "Não encontrado")</f>
        <v>175</v>
      </c>
      <c r="E243" s="82" t="s">
        <v>148</v>
      </c>
      <c r="F243" s="82" t="s">
        <v>447</v>
      </c>
      <c r="G243" s="62" t="str">
        <f t="shared" ca="1" si="14"/>
        <v>Concluído</v>
      </c>
      <c r="H243" s="99">
        <v>45702</v>
      </c>
      <c r="I243" s="65">
        <v>1</v>
      </c>
      <c r="J243" s="53">
        <f t="shared" si="13"/>
        <v>22.545454545454543</v>
      </c>
      <c r="K243" s="84">
        <v>45658</v>
      </c>
      <c r="L243" s="85">
        <v>45688</v>
      </c>
      <c r="M243" s="68">
        <f t="shared" si="15"/>
        <v>31</v>
      </c>
      <c r="N243" s="69">
        <f>IFERROR(INDEX(Tabela3[ID_Responsavel], MATCH(O243,Tabela3[[Responsáveis ]], 0)), "Não encontrado")</f>
        <v>11</v>
      </c>
      <c r="O243" s="58" t="s">
        <v>149</v>
      </c>
      <c r="P243" s="59" t="s">
        <v>48</v>
      </c>
      <c r="Q243" s="60" t="s">
        <v>512</v>
      </c>
    </row>
    <row r="244" spans="1:17" ht="30.75" hidden="1">
      <c r="A244" s="113">
        <f>IFERROR(INDEX(Tabela2[ID_Area], MATCH(B244,Tabela2[Area], 0)), "Não encontrado")</f>
        <v>1003</v>
      </c>
      <c r="B244" s="47" t="s">
        <v>92</v>
      </c>
      <c r="C244" s="48" t="s">
        <v>259</v>
      </c>
      <c r="D244" s="62">
        <f>IFERROR(INDEX(Metas!$D$2:$D$104, MATCH(E244,Metas!$E$2:$E$104, 0)), "Não encontrado")</f>
        <v>175</v>
      </c>
      <c r="E244" s="82" t="s">
        <v>148</v>
      </c>
      <c r="F244" s="82" t="s">
        <v>449</v>
      </c>
      <c r="G244" s="62" t="str">
        <f t="shared" ca="1" si="14"/>
        <v>Concluído</v>
      </c>
      <c r="H244" s="99">
        <v>45777</v>
      </c>
      <c r="I244" s="65">
        <v>1</v>
      </c>
      <c r="J244" s="53">
        <f t="shared" si="13"/>
        <v>64.727272727272734</v>
      </c>
      <c r="K244" s="84">
        <v>45689</v>
      </c>
      <c r="L244" s="85">
        <v>45777</v>
      </c>
      <c r="M244" s="68">
        <f t="shared" si="15"/>
        <v>89</v>
      </c>
      <c r="N244" s="69">
        <f>IFERROR(INDEX(Tabela3[ID_Responsavel], MATCH(O244,Tabela3[[Responsáveis ]], 0)), "Não encontrado")</f>
        <v>11</v>
      </c>
      <c r="O244" s="58" t="s">
        <v>149</v>
      </c>
      <c r="P244" s="59" t="s">
        <v>48</v>
      </c>
      <c r="Q244" s="100" t="s">
        <v>513</v>
      </c>
    </row>
    <row r="245" spans="1:17" ht="30.75" hidden="1">
      <c r="A245" s="117">
        <f>IFERROR(INDEX(Tabela2[ID_Area], MATCH(B245,Tabela2[Area], 0)), "Não encontrado")</f>
        <v>1003</v>
      </c>
      <c r="B245" s="47" t="s">
        <v>92</v>
      </c>
      <c r="C245" s="48" t="s">
        <v>259</v>
      </c>
      <c r="D245" s="62">
        <f>IFERROR(INDEX(Metas!$D$2:$D$104, MATCH(E245,Metas!$E$2:$E$104, 0)), "Não encontrado")</f>
        <v>175</v>
      </c>
      <c r="E245" s="82" t="s">
        <v>148</v>
      </c>
      <c r="F245" s="82" t="s">
        <v>451</v>
      </c>
      <c r="G245" s="62" t="str">
        <f t="shared" ca="1" si="14"/>
        <v>Concluído</v>
      </c>
      <c r="H245" s="99">
        <v>45777</v>
      </c>
      <c r="I245" s="65">
        <v>1</v>
      </c>
      <c r="J245" s="53">
        <f t="shared" si="13"/>
        <v>21.81818181818182</v>
      </c>
      <c r="K245" s="84">
        <v>45778</v>
      </c>
      <c r="L245" s="85">
        <v>45807</v>
      </c>
      <c r="M245" s="68">
        <f t="shared" si="15"/>
        <v>30</v>
      </c>
      <c r="N245" s="69">
        <f>IFERROR(INDEX(Tabela3[ID_Responsavel], MATCH(O245,Tabela3[[Responsáveis ]], 0)), "Não encontrado")</f>
        <v>11</v>
      </c>
      <c r="O245" s="58" t="s">
        <v>149</v>
      </c>
      <c r="P245" s="59" t="s">
        <v>48</v>
      </c>
      <c r="Q245" s="100" t="s">
        <v>514</v>
      </c>
    </row>
    <row r="246" spans="1:17" ht="30.75" hidden="1">
      <c r="A246" s="113">
        <f>IFERROR(INDEX(Tabela2[ID_Area], MATCH(B246,Tabela2[Area], 0)), "Não encontrado")</f>
        <v>1003</v>
      </c>
      <c r="B246" s="47" t="s">
        <v>92</v>
      </c>
      <c r="C246" s="48" t="s">
        <v>259</v>
      </c>
      <c r="D246" s="62">
        <f>IFERROR(INDEX(Metas!$D$2:$D$104, MATCH(E246,Metas!$E$2:$E$104, 0)), "Não encontrado")</f>
        <v>175</v>
      </c>
      <c r="E246" s="82" t="s">
        <v>148</v>
      </c>
      <c r="F246" s="82" t="s">
        <v>453</v>
      </c>
      <c r="G246" s="62" t="str">
        <f t="shared" ca="1" si="14"/>
        <v>Concluído</v>
      </c>
      <c r="H246" s="99">
        <v>45777</v>
      </c>
      <c r="I246" s="65">
        <v>1</v>
      </c>
      <c r="J246" s="53">
        <f t="shared" si="13"/>
        <v>10.90909090909091</v>
      </c>
      <c r="K246" s="84">
        <v>45778</v>
      </c>
      <c r="L246" s="85">
        <v>45792</v>
      </c>
      <c r="M246" s="68">
        <f t="shared" si="15"/>
        <v>15</v>
      </c>
      <c r="N246" s="69">
        <f>IFERROR(INDEX(Tabela3[ID_Responsavel], MATCH(O246,Tabela3[[Responsáveis ]], 0)), "Não encontrado")</f>
        <v>11</v>
      </c>
      <c r="O246" s="58" t="s">
        <v>149</v>
      </c>
      <c r="P246" s="59" t="s">
        <v>48</v>
      </c>
      <c r="Q246" s="60" t="s">
        <v>515</v>
      </c>
    </row>
    <row r="247" spans="1:17" ht="30.75" hidden="1">
      <c r="A247" s="117">
        <f>IFERROR(INDEX(Tabela2[ID_Area], MATCH(B247,Tabela2[Area], 0)), "Não encontrado")</f>
        <v>1003</v>
      </c>
      <c r="B247" s="47" t="s">
        <v>92</v>
      </c>
      <c r="C247" s="48" t="s">
        <v>516</v>
      </c>
      <c r="D247" s="62">
        <f>IFERROR(INDEX(Metas!$D$2:$D$104, MATCH(E247,Metas!$E$2:$E$104, 0)), "Não encontrado")</f>
        <v>176</v>
      </c>
      <c r="E247" s="82" t="s">
        <v>150</v>
      </c>
      <c r="F247" s="82" t="s">
        <v>517</v>
      </c>
      <c r="G247" s="62" t="str">
        <f t="shared" ca="1" si="14"/>
        <v>Concluído</v>
      </c>
      <c r="H247" s="99">
        <v>45664</v>
      </c>
      <c r="I247" s="65">
        <v>1</v>
      </c>
      <c r="J247" s="53">
        <f t="shared" si="13"/>
        <v>6.9421487603305785</v>
      </c>
      <c r="K247" s="84">
        <v>45658</v>
      </c>
      <c r="L247" s="85">
        <v>45664</v>
      </c>
      <c r="M247" s="68">
        <f t="shared" si="15"/>
        <v>7</v>
      </c>
      <c r="N247" s="69">
        <f>IFERROR(INDEX(Tabela3[ID_Responsavel], MATCH(O247,Tabela3[[Responsáveis ]], 0)), "Não encontrado")</f>
        <v>11</v>
      </c>
      <c r="O247" s="58" t="s">
        <v>149</v>
      </c>
      <c r="P247" s="59" t="s">
        <v>48</v>
      </c>
      <c r="Q247" s="60" t="s">
        <v>518</v>
      </c>
    </row>
    <row r="248" spans="1:17" ht="30.75" hidden="1">
      <c r="A248" s="113">
        <f>IFERROR(INDEX(Tabela2[ID_Area], MATCH(B248,Tabela2[Area], 0)), "Não encontrado")</f>
        <v>1003</v>
      </c>
      <c r="B248" s="47" t="s">
        <v>92</v>
      </c>
      <c r="C248" s="48" t="s">
        <v>516</v>
      </c>
      <c r="D248" s="62">
        <f>IFERROR(INDEX(Metas!$D$2:$D$104, MATCH(E248,Metas!$E$2:$E$104, 0)), "Não encontrado")</f>
        <v>176</v>
      </c>
      <c r="E248" s="82" t="s">
        <v>150</v>
      </c>
      <c r="F248" s="82" t="s">
        <v>519</v>
      </c>
      <c r="G248" s="62" t="str">
        <f t="shared" ca="1" si="14"/>
        <v>Concluído</v>
      </c>
      <c r="H248" s="99">
        <v>45662</v>
      </c>
      <c r="I248" s="65">
        <v>1</v>
      </c>
      <c r="J248" s="53">
        <f t="shared" si="13"/>
        <v>29.75206611570248</v>
      </c>
      <c r="K248" s="84">
        <v>45658</v>
      </c>
      <c r="L248" s="85">
        <v>45687</v>
      </c>
      <c r="M248" s="68">
        <f t="shared" si="15"/>
        <v>30</v>
      </c>
      <c r="N248" s="69">
        <f>IFERROR(INDEX(Tabela3[ID_Responsavel], MATCH(O248,Tabela3[[Responsáveis ]], 0)), "Não encontrado")</f>
        <v>11</v>
      </c>
      <c r="O248" s="58" t="s">
        <v>149</v>
      </c>
      <c r="P248" s="59" t="s">
        <v>48</v>
      </c>
      <c r="Q248" s="60" t="s">
        <v>520</v>
      </c>
    </row>
    <row r="249" spans="1:17" ht="30.75" hidden="1">
      <c r="A249" s="117">
        <f>IFERROR(INDEX(Tabela2[ID_Area], MATCH(B249,Tabela2[Area], 0)), "Não encontrado")</f>
        <v>1003</v>
      </c>
      <c r="B249" s="47" t="s">
        <v>92</v>
      </c>
      <c r="C249" s="48" t="s">
        <v>516</v>
      </c>
      <c r="D249" s="62">
        <f>IFERROR(INDEX(Metas!$D$2:$D$104, MATCH(E249,Metas!$E$2:$E$104, 0)), "Não encontrado")</f>
        <v>176</v>
      </c>
      <c r="E249" s="82" t="s">
        <v>150</v>
      </c>
      <c r="F249" s="82" t="s">
        <v>521</v>
      </c>
      <c r="G249" s="62" t="str">
        <f t="shared" ca="1" si="14"/>
        <v>Concluído</v>
      </c>
      <c r="H249" s="99">
        <v>45702</v>
      </c>
      <c r="I249" s="65">
        <v>1</v>
      </c>
      <c r="J249" s="53">
        <f t="shared" si="13"/>
        <v>23.801652892561982</v>
      </c>
      <c r="K249" s="84">
        <v>45664</v>
      </c>
      <c r="L249" s="85">
        <v>45687</v>
      </c>
      <c r="M249" s="68">
        <f t="shared" si="15"/>
        <v>24</v>
      </c>
      <c r="N249" s="69">
        <f>IFERROR(INDEX(Tabela3[ID_Responsavel], MATCH(O249,Tabela3[[Responsáveis ]], 0)), "Não encontrado")</f>
        <v>11</v>
      </c>
      <c r="O249" s="58" t="s">
        <v>149</v>
      </c>
      <c r="P249" s="59" t="s">
        <v>48</v>
      </c>
      <c r="Q249" s="60" t="s">
        <v>522</v>
      </c>
    </row>
    <row r="250" spans="1:17" ht="30.75" hidden="1">
      <c r="A250" s="113">
        <f>IFERROR(INDEX(Tabela2[ID_Area], MATCH(B250,Tabela2[Area], 0)), "Não encontrado")</f>
        <v>1003</v>
      </c>
      <c r="B250" s="47" t="s">
        <v>92</v>
      </c>
      <c r="C250" s="48" t="s">
        <v>516</v>
      </c>
      <c r="D250" s="62">
        <f>IFERROR(INDEX(Metas!$D$2:$D$104, MATCH(E250,Metas!$E$2:$E$104, 0)), "Não encontrado")</f>
        <v>176</v>
      </c>
      <c r="E250" s="82" t="s">
        <v>150</v>
      </c>
      <c r="F250" s="82" t="s">
        <v>523</v>
      </c>
      <c r="G250" s="62" t="str">
        <f t="shared" ca="1" si="14"/>
        <v>Concluído</v>
      </c>
      <c r="H250" s="99">
        <v>45746</v>
      </c>
      <c r="I250" s="65">
        <v>1</v>
      </c>
      <c r="J250" s="53">
        <f t="shared" si="13"/>
        <v>59.504132231404959</v>
      </c>
      <c r="K250" s="84">
        <v>45687</v>
      </c>
      <c r="L250" s="85">
        <v>45746</v>
      </c>
      <c r="M250" s="68">
        <f t="shared" si="15"/>
        <v>60</v>
      </c>
      <c r="N250" s="69">
        <f>IFERROR(INDEX(Tabela3[ID_Responsavel], MATCH(O250,Tabela3[[Responsáveis ]], 0)), "Não encontrado")</f>
        <v>11</v>
      </c>
      <c r="O250" s="58" t="s">
        <v>149</v>
      </c>
      <c r="P250" s="59" t="s">
        <v>48</v>
      </c>
      <c r="Q250" s="60" t="s">
        <v>524</v>
      </c>
    </row>
    <row r="251" spans="1:17" ht="30.75" hidden="1">
      <c r="A251" s="117">
        <f>IFERROR(INDEX(Tabela2[ID_Area], MATCH(B251,Tabela2[Area], 0)), "Não encontrado")</f>
        <v>1003</v>
      </c>
      <c r="B251" s="47" t="s">
        <v>92</v>
      </c>
      <c r="C251" s="48" t="s">
        <v>516</v>
      </c>
      <c r="D251" s="62">
        <f>IFERROR(INDEX(Metas!$D$2:$D$104, MATCH(E251,Metas!$E$2:$E$104, 0)), "Não encontrado")</f>
        <v>177</v>
      </c>
      <c r="E251" s="82" t="s">
        <v>151</v>
      </c>
      <c r="F251" s="82" t="s">
        <v>525</v>
      </c>
      <c r="G251" s="62" t="str">
        <f t="shared" ca="1" si="14"/>
        <v>Concluído</v>
      </c>
      <c r="H251" s="99">
        <v>45687</v>
      </c>
      <c r="I251" s="65">
        <v>1</v>
      </c>
      <c r="J251" s="53">
        <f t="shared" si="13"/>
        <v>50.666666666666664</v>
      </c>
      <c r="K251" s="84">
        <v>45658</v>
      </c>
      <c r="L251" s="85">
        <v>45695</v>
      </c>
      <c r="M251" s="68">
        <f t="shared" si="15"/>
        <v>38</v>
      </c>
      <c r="N251" s="69">
        <f>IFERROR(INDEX(Tabela3[ID_Responsavel], MATCH(O251,Tabela3[[Responsáveis ]], 0)), "Não encontrado")</f>
        <v>11</v>
      </c>
      <c r="O251" s="58" t="s">
        <v>149</v>
      </c>
      <c r="P251" s="59" t="s">
        <v>48</v>
      </c>
      <c r="Q251" s="60" t="s">
        <v>526</v>
      </c>
    </row>
    <row r="252" spans="1:17" ht="30.75" hidden="1">
      <c r="A252" s="113">
        <f>IFERROR(INDEX(Tabela2[ID_Area], MATCH(B252,Tabela2[Area], 0)), "Não encontrado")</f>
        <v>1003</v>
      </c>
      <c r="B252" s="47" t="s">
        <v>92</v>
      </c>
      <c r="C252" s="48" t="s">
        <v>516</v>
      </c>
      <c r="D252" s="62">
        <f>IFERROR(INDEX(Metas!$D$2:$D$104, MATCH(E252,Metas!$E$2:$E$104, 0)), "Não encontrado")</f>
        <v>177</v>
      </c>
      <c r="E252" s="82" t="s">
        <v>151</v>
      </c>
      <c r="F252" s="82" t="s">
        <v>527</v>
      </c>
      <c r="G252" s="62" t="str">
        <f t="shared" ca="1" si="14"/>
        <v>Concluído</v>
      </c>
      <c r="H252" s="99">
        <v>45702</v>
      </c>
      <c r="I252" s="65">
        <v>1</v>
      </c>
      <c r="J252" s="53">
        <f t="shared" si="13"/>
        <v>52</v>
      </c>
      <c r="K252" s="84">
        <v>45665</v>
      </c>
      <c r="L252" s="85">
        <v>45703</v>
      </c>
      <c r="M252" s="68">
        <f t="shared" si="15"/>
        <v>39</v>
      </c>
      <c r="N252" s="69">
        <f>IFERROR(INDEX(Tabela3[ID_Responsavel], MATCH(O252,Tabela3[[Responsáveis ]], 0)), "Não encontrado")</f>
        <v>11</v>
      </c>
      <c r="O252" s="58" t="s">
        <v>149</v>
      </c>
      <c r="P252" s="59" t="s">
        <v>48</v>
      </c>
      <c r="Q252" s="60" t="s">
        <v>528</v>
      </c>
    </row>
    <row r="253" spans="1:17" ht="30.75" hidden="1">
      <c r="A253" s="117">
        <f>IFERROR(INDEX(Tabela2[ID_Area], MATCH(B253,Tabela2[Area], 0)), "Não encontrado")</f>
        <v>1003</v>
      </c>
      <c r="B253" s="47" t="s">
        <v>92</v>
      </c>
      <c r="C253" s="48" t="s">
        <v>516</v>
      </c>
      <c r="D253" s="62">
        <f>IFERROR(INDEX(Metas!$D$2:$D$104, MATCH(E253,Metas!$E$2:$E$104, 0)), "Não encontrado")</f>
        <v>177</v>
      </c>
      <c r="E253" s="82" t="s">
        <v>151</v>
      </c>
      <c r="F253" s="82" t="s">
        <v>529</v>
      </c>
      <c r="G253" s="62" t="str">
        <f t="shared" ca="1" si="14"/>
        <v>Concluído</v>
      </c>
      <c r="H253" s="99">
        <v>45705</v>
      </c>
      <c r="I253" s="65">
        <v>1</v>
      </c>
      <c r="J253" s="53">
        <f t="shared" si="13"/>
        <v>13.333333333333332</v>
      </c>
      <c r="K253" s="84">
        <v>45704</v>
      </c>
      <c r="L253" s="85">
        <v>45713</v>
      </c>
      <c r="M253" s="68">
        <f t="shared" si="15"/>
        <v>10</v>
      </c>
      <c r="N253" s="69">
        <f>IFERROR(INDEX(Tabela3[ID_Responsavel], MATCH(O253,Tabela3[[Responsáveis ]], 0)), "Não encontrado")</f>
        <v>11</v>
      </c>
      <c r="O253" s="58" t="s">
        <v>149</v>
      </c>
      <c r="P253" s="59" t="s">
        <v>48</v>
      </c>
      <c r="Q253" s="60" t="s">
        <v>530</v>
      </c>
    </row>
    <row r="254" spans="1:17" ht="30.75" hidden="1">
      <c r="A254" s="113">
        <f>IFERROR(INDEX(Tabela2[ID_Area], MATCH(B254,Tabela2[Area], 0)), "Não encontrado")</f>
        <v>1003</v>
      </c>
      <c r="B254" s="47" t="s">
        <v>92</v>
      </c>
      <c r="C254" s="48" t="s">
        <v>516</v>
      </c>
      <c r="D254" s="62">
        <f>IFERROR(INDEX(Metas!$D$2:$D$104, MATCH(E254,Metas!$E$2:$E$104, 0)), "Não encontrado")</f>
        <v>177</v>
      </c>
      <c r="E254" s="82" t="s">
        <v>151</v>
      </c>
      <c r="F254" s="82" t="s">
        <v>531</v>
      </c>
      <c r="G254" s="62" t="str">
        <f t="shared" ca="1" si="14"/>
        <v>Concluído</v>
      </c>
      <c r="H254" s="99">
        <v>45716</v>
      </c>
      <c r="I254" s="65">
        <v>1</v>
      </c>
      <c r="J254" s="53">
        <f t="shared" si="13"/>
        <v>4</v>
      </c>
      <c r="K254" s="84">
        <v>45714</v>
      </c>
      <c r="L254" s="85">
        <v>45716</v>
      </c>
      <c r="M254" s="68">
        <f t="shared" si="15"/>
        <v>3</v>
      </c>
      <c r="N254" s="69">
        <f>IFERROR(INDEX(Tabela3[ID_Responsavel], MATCH(O254,Tabela3[[Responsáveis ]], 0)), "Não encontrado")</f>
        <v>11</v>
      </c>
      <c r="O254" s="58" t="s">
        <v>149</v>
      </c>
      <c r="P254" s="59" t="s">
        <v>48</v>
      </c>
      <c r="Q254" s="60" t="s">
        <v>532</v>
      </c>
    </row>
    <row r="255" spans="1:17" ht="30.75" hidden="1">
      <c r="A255" s="117">
        <f>IFERROR(INDEX(Tabela2[ID_Area], MATCH(B255,Tabela2[Area], 0)), "Não encontrado")</f>
        <v>1003</v>
      </c>
      <c r="B255" s="47" t="s">
        <v>92</v>
      </c>
      <c r="C255" s="48" t="s">
        <v>516</v>
      </c>
      <c r="D255" s="62">
        <f>IFERROR(INDEX(Metas!$D$2:$D$104, MATCH(E255,Metas!$E$2:$E$104, 0)), "Não encontrado")</f>
        <v>179</v>
      </c>
      <c r="E255" s="82" t="s">
        <v>153</v>
      </c>
      <c r="F255" s="82" t="s">
        <v>517</v>
      </c>
      <c r="G255" s="62" t="str">
        <f t="shared" ca="1" si="14"/>
        <v>Concluído</v>
      </c>
      <c r="H255" s="99">
        <v>45664</v>
      </c>
      <c r="I255" s="73">
        <v>1</v>
      </c>
      <c r="J255" s="53">
        <f t="shared" si="13"/>
        <v>6.9421487603305785</v>
      </c>
      <c r="K255" s="84">
        <v>45658</v>
      </c>
      <c r="L255" s="85">
        <v>45664</v>
      </c>
      <c r="M255" s="68">
        <f t="shared" si="15"/>
        <v>7</v>
      </c>
      <c r="N255" s="69">
        <f>IFERROR(INDEX(Tabela3[ID_Responsavel], MATCH(O255,Tabela3[[Responsáveis ]], 0)), "Não encontrado")</f>
        <v>15</v>
      </c>
      <c r="O255" s="58" t="s">
        <v>154</v>
      </c>
      <c r="P255" s="59" t="s">
        <v>48</v>
      </c>
      <c r="Q255" s="60" t="s">
        <v>533</v>
      </c>
    </row>
    <row r="256" spans="1:17" ht="30.75" hidden="1">
      <c r="A256" s="113">
        <f>IFERROR(INDEX(Tabela2[ID_Area], MATCH(B256,Tabela2[Area], 0)), "Não encontrado")</f>
        <v>1003</v>
      </c>
      <c r="B256" s="47" t="s">
        <v>92</v>
      </c>
      <c r="C256" s="48" t="s">
        <v>516</v>
      </c>
      <c r="D256" s="62">
        <f>IFERROR(INDEX(Metas!$D$2:$D$104, MATCH(E256,Metas!$E$2:$E$104, 0)), "Não encontrado")</f>
        <v>179</v>
      </c>
      <c r="E256" s="82" t="s">
        <v>153</v>
      </c>
      <c r="F256" s="82" t="s">
        <v>519</v>
      </c>
      <c r="G256" s="62" t="str">
        <f t="shared" ca="1" si="14"/>
        <v>Concluído</v>
      </c>
      <c r="H256" s="99">
        <v>45667</v>
      </c>
      <c r="I256" s="73">
        <v>1</v>
      </c>
      <c r="J256" s="53">
        <f t="shared" si="13"/>
        <v>29.75206611570248</v>
      </c>
      <c r="K256" s="84">
        <v>45658</v>
      </c>
      <c r="L256" s="85">
        <v>45687</v>
      </c>
      <c r="M256" s="68">
        <f t="shared" si="15"/>
        <v>30</v>
      </c>
      <c r="N256" s="69">
        <f>IFERROR(INDEX(Tabela3[ID_Responsavel], MATCH(O256,Tabela3[[Responsáveis ]], 0)), "Não encontrado")</f>
        <v>15</v>
      </c>
      <c r="O256" s="58" t="s">
        <v>154</v>
      </c>
      <c r="P256" s="59" t="s">
        <v>48</v>
      </c>
      <c r="Q256" s="60" t="s">
        <v>533</v>
      </c>
    </row>
    <row r="257" spans="1:17" ht="30.75" hidden="1">
      <c r="A257" s="117">
        <f>IFERROR(INDEX(Tabela2[ID_Area], MATCH(B257,Tabela2[Area], 0)), "Não encontrado")</f>
        <v>1003</v>
      </c>
      <c r="B257" s="47" t="s">
        <v>92</v>
      </c>
      <c r="C257" s="48" t="s">
        <v>516</v>
      </c>
      <c r="D257" s="62">
        <f>IFERROR(INDEX(Metas!$D$2:$D$104, MATCH(E257,Metas!$E$2:$E$104, 0)), "Não encontrado")</f>
        <v>179</v>
      </c>
      <c r="E257" s="82" t="s">
        <v>153</v>
      </c>
      <c r="F257" s="82" t="s">
        <v>534</v>
      </c>
      <c r="G257" s="62" t="str">
        <f t="shared" ca="1" si="14"/>
        <v>Concluído</v>
      </c>
      <c r="H257" s="99">
        <v>45702</v>
      </c>
      <c r="I257" s="73">
        <v>1</v>
      </c>
      <c r="J257" s="53">
        <f t="shared" si="13"/>
        <v>23.801652892561982</v>
      </c>
      <c r="K257" s="84">
        <v>45664</v>
      </c>
      <c r="L257" s="85">
        <v>45687</v>
      </c>
      <c r="M257" s="68">
        <f t="shared" si="15"/>
        <v>24</v>
      </c>
      <c r="N257" s="69">
        <f>IFERROR(INDEX(Tabela3[ID_Responsavel], MATCH(O257,Tabela3[[Responsáveis ]], 0)), "Não encontrado")</f>
        <v>15</v>
      </c>
      <c r="O257" s="58" t="s">
        <v>154</v>
      </c>
      <c r="P257" s="59" t="s">
        <v>48</v>
      </c>
      <c r="Q257" s="60" t="s">
        <v>535</v>
      </c>
    </row>
    <row r="258" spans="1:17" ht="30.75" hidden="1">
      <c r="A258" s="113">
        <f>IFERROR(INDEX(Tabela2[ID_Area], MATCH(B258,Tabela2[Area], 0)), "Não encontrado")</f>
        <v>1003</v>
      </c>
      <c r="B258" s="47" t="s">
        <v>92</v>
      </c>
      <c r="C258" s="48" t="s">
        <v>516</v>
      </c>
      <c r="D258" s="62">
        <f>IFERROR(INDEX(Metas!$D$2:$D$104, MATCH(E258,Metas!$E$2:$E$104, 0)), "Não encontrado")</f>
        <v>179</v>
      </c>
      <c r="E258" s="82" t="s">
        <v>153</v>
      </c>
      <c r="F258" s="82" t="s">
        <v>523</v>
      </c>
      <c r="G258" s="62" t="str">
        <f t="shared" ca="1" si="14"/>
        <v>Concluído</v>
      </c>
      <c r="H258" s="99">
        <v>45705</v>
      </c>
      <c r="I258" s="73">
        <v>1</v>
      </c>
      <c r="J258" s="53">
        <f t="shared" ref="J258:J321" si="16">IFERROR( M258 / SUMIFS($M:$M, $E:$E, $E258, $O:$O, $O258) * 120, 0 )</f>
        <v>59.504132231404959</v>
      </c>
      <c r="K258" s="84">
        <v>45687</v>
      </c>
      <c r="L258" s="85">
        <v>45746</v>
      </c>
      <c r="M258" s="68">
        <f t="shared" si="15"/>
        <v>60</v>
      </c>
      <c r="N258" s="69">
        <f>IFERROR(INDEX(Tabela3[ID_Responsavel], MATCH(O258,Tabela3[[Responsáveis ]], 0)), "Não encontrado")</f>
        <v>15</v>
      </c>
      <c r="O258" s="58" t="s">
        <v>154</v>
      </c>
      <c r="P258" s="59" t="s">
        <v>48</v>
      </c>
      <c r="Q258" s="60" t="s">
        <v>536</v>
      </c>
    </row>
    <row r="259" spans="1:17" ht="16.5" hidden="1">
      <c r="A259" s="117">
        <f>IFERROR(INDEX(Tabela2[ID_Area], MATCH(B259,Tabela2[Area], 0)), "Não encontrado")</f>
        <v>1003</v>
      </c>
      <c r="B259" s="47" t="s">
        <v>92</v>
      </c>
      <c r="C259" s="48" t="s">
        <v>537</v>
      </c>
      <c r="D259" s="62">
        <f>IFERROR(INDEX(Metas!$D$2:$D$104, MATCH(E259,Metas!$E$2:$E$104, 0)), "Não encontrado")</f>
        <v>180</v>
      </c>
      <c r="E259" s="82" t="s">
        <v>155</v>
      </c>
      <c r="F259" s="82" t="s">
        <v>465</v>
      </c>
      <c r="G259" s="62" t="str">
        <f t="shared" ref="G259:G322" ca="1" si="17">IF(I259=1,"Concluído",
   IF(TODAY()&gt;L259,"Atrasado",
      IF(AND(I259=0,TODAY()&lt;K259),"Não iniciado",
         "Em Andamento")))</f>
        <v>Concluído</v>
      </c>
      <c r="H259" s="99">
        <v>45672</v>
      </c>
      <c r="I259" s="73">
        <v>1</v>
      </c>
      <c r="J259" s="53">
        <f t="shared" si="16"/>
        <v>12</v>
      </c>
      <c r="K259" s="84">
        <v>45658</v>
      </c>
      <c r="L259" s="85">
        <v>45672</v>
      </c>
      <c r="M259" s="68">
        <f t="shared" ref="M259:M322" si="18" xml:space="preserve"> L259 - K259 + 1</f>
        <v>15</v>
      </c>
      <c r="N259" s="69">
        <f>IFERROR(INDEX(Tabela3[ID_Responsavel], MATCH(O259,Tabela3[[Responsáveis ]], 0)), "Não encontrado")</f>
        <v>15</v>
      </c>
      <c r="O259" s="58" t="s">
        <v>154</v>
      </c>
      <c r="P259" s="59" t="s">
        <v>48</v>
      </c>
      <c r="Q259" s="60" t="s">
        <v>304</v>
      </c>
    </row>
    <row r="260" spans="1:17" ht="16.5" hidden="1">
      <c r="A260" s="113">
        <f>IFERROR(INDEX(Tabela2[ID_Area], MATCH(B260,Tabela2[Area], 0)), "Não encontrado")</f>
        <v>1003</v>
      </c>
      <c r="B260" s="47" t="s">
        <v>92</v>
      </c>
      <c r="C260" s="48" t="s">
        <v>537</v>
      </c>
      <c r="D260" s="62">
        <f>IFERROR(INDEX(Metas!$D$2:$D$104, MATCH(E260,Metas!$E$2:$E$104, 0)), "Não encontrado")</f>
        <v>180</v>
      </c>
      <c r="E260" s="82" t="s">
        <v>155</v>
      </c>
      <c r="F260" s="82" t="s">
        <v>538</v>
      </c>
      <c r="G260" s="62" t="str">
        <f t="shared" ca="1" si="17"/>
        <v>Concluído</v>
      </c>
      <c r="H260" s="99">
        <v>45744</v>
      </c>
      <c r="I260" s="73">
        <v>1</v>
      </c>
      <c r="J260" s="53">
        <f t="shared" si="16"/>
        <v>60</v>
      </c>
      <c r="K260" s="84">
        <v>45673</v>
      </c>
      <c r="L260" s="85">
        <v>45747</v>
      </c>
      <c r="M260" s="68">
        <f t="shared" si="18"/>
        <v>75</v>
      </c>
      <c r="N260" s="69">
        <f>IFERROR(INDEX(Tabela3[ID_Responsavel], MATCH(O260,Tabela3[[Responsáveis ]], 0)), "Não encontrado")</f>
        <v>15</v>
      </c>
      <c r="O260" s="58" t="s">
        <v>154</v>
      </c>
      <c r="P260" s="59" t="s">
        <v>48</v>
      </c>
      <c r="Q260" s="60" t="s">
        <v>305</v>
      </c>
    </row>
    <row r="261" spans="1:17" ht="16.5" hidden="1">
      <c r="A261" s="117">
        <f>IFERROR(INDEX(Tabela2[ID_Area], MATCH(B261,Tabela2[Area], 0)), "Não encontrado")</f>
        <v>1003</v>
      </c>
      <c r="B261" s="47" t="s">
        <v>92</v>
      </c>
      <c r="C261" s="48" t="s">
        <v>537</v>
      </c>
      <c r="D261" s="62">
        <f>IFERROR(INDEX(Metas!$D$2:$D$104, MATCH(E261,Metas!$E$2:$E$104, 0)), "Não encontrado")</f>
        <v>180</v>
      </c>
      <c r="E261" s="82" t="s">
        <v>155</v>
      </c>
      <c r="F261" s="82" t="s">
        <v>539</v>
      </c>
      <c r="G261" s="62" t="str">
        <f t="shared" ca="1" si="17"/>
        <v>Concluído</v>
      </c>
      <c r="H261" s="99">
        <v>45772</v>
      </c>
      <c r="I261" s="73">
        <v>1</v>
      </c>
      <c r="J261" s="53">
        <f t="shared" si="16"/>
        <v>24</v>
      </c>
      <c r="K261" s="84">
        <v>45748</v>
      </c>
      <c r="L261" s="85">
        <v>45777</v>
      </c>
      <c r="M261" s="68">
        <f t="shared" si="18"/>
        <v>30</v>
      </c>
      <c r="N261" s="69">
        <f>IFERROR(INDEX(Tabela3[ID_Responsavel], MATCH(O261,Tabela3[[Responsáveis ]], 0)), "Não encontrado")</f>
        <v>15</v>
      </c>
      <c r="O261" s="58" t="s">
        <v>154</v>
      </c>
      <c r="P261" s="59" t="s">
        <v>48</v>
      </c>
      <c r="Q261" s="60" t="s">
        <v>468</v>
      </c>
    </row>
    <row r="262" spans="1:17" ht="16.5" hidden="1">
      <c r="A262" s="113">
        <f>IFERROR(INDEX(Tabela2[ID_Area], MATCH(B262,Tabela2[Area], 0)), "Não encontrado")</f>
        <v>1003</v>
      </c>
      <c r="B262" s="47" t="s">
        <v>92</v>
      </c>
      <c r="C262" s="48" t="s">
        <v>537</v>
      </c>
      <c r="D262" s="62">
        <f>IFERROR(INDEX(Metas!$D$2:$D$104, MATCH(E262,Metas!$E$2:$E$104, 0)), "Não encontrado")</f>
        <v>180</v>
      </c>
      <c r="E262" s="82" t="s">
        <v>155</v>
      </c>
      <c r="F262" s="82" t="s">
        <v>451</v>
      </c>
      <c r="G262" s="62" t="str">
        <f t="shared" ca="1" si="17"/>
        <v>Concluído</v>
      </c>
      <c r="H262" s="99">
        <v>45797</v>
      </c>
      <c r="I262" s="73">
        <v>1</v>
      </c>
      <c r="J262" s="53">
        <f t="shared" si="16"/>
        <v>24</v>
      </c>
      <c r="K262" s="84">
        <v>45778</v>
      </c>
      <c r="L262" s="85">
        <v>45807</v>
      </c>
      <c r="M262" s="68">
        <f t="shared" si="18"/>
        <v>30</v>
      </c>
      <c r="N262" s="69">
        <f>IFERROR(INDEX(Tabela3[ID_Responsavel], MATCH(O262,Tabela3[[Responsáveis ]], 0)), "Não encontrado")</f>
        <v>15</v>
      </c>
      <c r="O262" s="58" t="s">
        <v>154</v>
      </c>
      <c r="P262" s="59" t="s">
        <v>48</v>
      </c>
      <c r="Q262" s="60" t="s">
        <v>307</v>
      </c>
    </row>
    <row r="263" spans="1:17" ht="16.5" hidden="1">
      <c r="A263" s="117">
        <f>IFERROR(INDEX(Tabela2[ID_Area], MATCH(B263,Tabela2[Area], 0)), "Não encontrado")</f>
        <v>1003</v>
      </c>
      <c r="B263" s="47" t="s">
        <v>92</v>
      </c>
      <c r="C263" s="48" t="s">
        <v>55</v>
      </c>
      <c r="D263" s="62">
        <f>IFERROR(INDEX(Metas!$D$2:$D$104, MATCH(E263,Metas!$E$2:$E$104, 0)), "Não encontrado")</f>
        <v>182</v>
      </c>
      <c r="E263" s="82" t="s">
        <v>157</v>
      </c>
      <c r="F263" s="82" t="s">
        <v>457</v>
      </c>
      <c r="G263" s="62" t="str">
        <f t="shared" ca="1" si="17"/>
        <v>Concluído</v>
      </c>
      <c r="H263" s="99">
        <v>45687</v>
      </c>
      <c r="I263" s="73">
        <v>1</v>
      </c>
      <c r="J263" s="53">
        <f t="shared" si="16"/>
        <v>16.315789473684212</v>
      </c>
      <c r="K263" s="84">
        <v>45658</v>
      </c>
      <c r="L263" s="85">
        <v>45688</v>
      </c>
      <c r="M263" s="68">
        <f t="shared" si="18"/>
        <v>31</v>
      </c>
      <c r="N263" s="69">
        <f>IFERROR(INDEX(Tabela3[ID_Responsavel], MATCH(O263,Tabela3[[Responsáveis ]], 0)), "Não encontrado")</f>
        <v>16</v>
      </c>
      <c r="O263" s="58" t="s">
        <v>158</v>
      </c>
      <c r="P263" s="59" t="s">
        <v>48</v>
      </c>
      <c r="Q263" s="60" t="s">
        <v>540</v>
      </c>
    </row>
    <row r="264" spans="1:17" ht="16.5" hidden="1">
      <c r="A264" s="113">
        <f>IFERROR(INDEX(Tabela2[ID_Area], MATCH(B264,Tabela2[Area], 0)), "Não encontrado")</f>
        <v>1003</v>
      </c>
      <c r="B264" s="47" t="s">
        <v>92</v>
      </c>
      <c r="C264" s="48" t="s">
        <v>55</v>
      </c>
      <c r="D264" s="62">
        <f>IFERROR(INDEX(Metas!$D$2:$D$104, MATCH(E264,Metas!$E$2:$E$104, 0)), "Não encontrado")</f>
        <v>182</v>
      </c>
      <c r="E264" s="82" t="s">
        <v>157</v>
      </c>
      <c r="F264" s="82" t="s">
        <v>459</v>
      </c>
      <c r="G264" s="62" t="str">
        <f t="shared" ca="1" si="17"/>
        <v>Concluído</v>
      </c>
      <c r="H264" s="99">
        <v>45747</v>
      </c>
      <c r="I264" s="73">
        <v>1</v>
      </c>
      <c r="J264" s="53">
        <f t="shared" si="16"/>
        <v>31.05263157894737</v>
      </c>
      <c r="K264" s="84">
        <v>45689</v>
      </c>
      <c r="L264" s="85">
        <v>45747</v>
      </c>
      <c r="M264" s="68">
        <f t="shared" si="18"/>
        <v>59</v>
      </c>
      <c r="N264" s="69">
        <f>IFERROR(INDEX(Tabela3[ID_Responsavel], MATCH(O264,Tabela3[[Responsáveis ]], 0)), "Não encontrado")</f>
        <v>16</v>
      </c>
      <c r="O264" s="58" t="s">
        <v>158</v>
      </c>
      <c r="P264" s="59" t="s">
        <v>48</v>
      </c>
      <c r="Q264" s="60" t="s">
        <v>541</v>
      </c>
    </row>
    <row r="265" spans="1:17" ht="16.5" hidden="1">
      <c r="A265" s="117">
        <f>IFERROR(INDEX(Tabela2[ID_Area], MATCH(B265,Tabela2[Area], 0)), "Não encontrado")</f>
        <v>1003</v>
      </c>
      <c r="B265" s="47" t="s">
        <v>92</v>
      </c>
      <c r="C265" s="48" t="s">
        <v>55</v>
      </c>
      <c r="D265" s="62">
        <f>IFERROR(INDEX(Metas!$D$2:$D$104, MATCH(E265,Metas!$E$2:$E$104, 0)), "Não encontrado")</f>
        <v>182</v>
      </c>
      <c r="E265" s="82" t="s">
        <v>157</v>
      </c>
      <c r="F265" s="82" t="s">
        <v>461</v>
      </c>
      <c r="G265" s="62" t="str">
        <f t="shared" ca="1" si="17"/>
        <v>Concluído</v>
      </c>
      <c r="H265" s="101">
        <v>45853</v>
      </c>
      <c r="I265" s="73">
        <v>1</v>
      </c>
      <c r="J265" s="53">
        <f t="shared" si="16"/>
        <v>55.789473684210527</v>
      </c>
      <c r="K265" s="84">
        <v>45748</v>
      </c>
      <c r="L265" s="85">
        <v>45853</v>
      </c>
      <c r="M265" s="68">
        <f t="shared" si="18"/>
        <v>106</v>
      </c>
      <c r="N265" s="69">
        <f>IFERROR(INDEX(Tabela3[ID_Responsavel], MATCH(O265,Tabela3[[Responsáveis ]], 0)), "Não encontrado")</f>
        <v>16</v>
      </c>
      <c r="O265" s="58" t="s">
        <v>158</v>
      </c>
      <c r="P265" s="59" t="s">
        <v>48</v>
      </c>
      <c r="Q265" s="60" t="s">
        <v>542</v>
      </c>
    </row>
    <row r="266" spans="1:17" ht="16.5" hidden="1">
      <c r="A266" s="113">
        <f>IFERROR(INDEX(Tabela2[ID_Area], MATCH(B266,Tabela2[Area], 0)), "Não encontrado")</f>
        <v>1003</v>
      </c>
      <c r="B266" s="47" t="s">
        <v>92</v>
      </c>
      <c r="C266" s="48" t="s">
        <v>55</v>
      </c>
      <c r="D266" s="62">
        <f>IFERROR(INDEX(Metas!$D$2:$D$104, MATCH(E266,Metas!$E$2:$E$104, 0)), "Não encontrado")</f>
        <v>182</v>
      </c>
      <c r="E266" s="82" t="s">
        <v>157</v>
      </c>
      <c r="F266" s="82" t="s">
        <v>463</v>
      </c>
      <c r="G266" s="62" t="str">
        <f t="shared" ca="1" si="17"/>
        <v>Concluído</v>
      </c>
      <c r="H266" s="101">
        <v>45858</v>
      </c>
      <c r="I266" s="73">
        <v>1</v>
      </c>
      <c r="J266" s="53">
        <f t="shared" si="16"/>
        <v>16.842105263157894</v>
      </c>
      <c r="K266" s="84">
        <v>45853</v>
      </c>
      <c r="L266" s="85">
        <v>45884</v>
      </c>
      <c r="M266" s="68">
        <f t="shared" si="18"/>
        <v>32</v>
      </c>
      <c r="N266" s="69">
        <f>IFERROR(INDEX(Tabela3[ID_Responsavel], MATCH(O266,Tabela3[[Responsáveis ]], 0)), "Não encontrado")</f>
        <v>16</v>
      </c>
      <c r="O266" s="58" t="s">
        <v>158</v>
      </c>
      <c r="P266" s="59" t="s">
        <v>48</v>
      </c>
      <c r="Q266" s="60" t="s">
        <v>543</v>
      </c>
    </row>
    <row r="267" spans="1:17" ht="16.5" hidden="1">
      <c r="A267" s="117">
        <f>IFERROR(INDEX(Tabela2[ID_Area], MATCH(B267,Tabela2[Area], 0)), "Não encontrado")</f>
        <v>1003</v>
      </c>
      <c r="B267" s="47" t="s">
        <v>92</v>
      </c>
      <c r="C267" s="48" t="s">
        <v>259</v>
      </c>
      <c r="D267" s="62">
        <f>IFERROR(INDEX(Metas!$D$2:$D$104, MATCH(E267,Metas!$E$2:$E$104, 0)), "Não encontrado")</f>
        <v>186</v>
      </c>
      <c r="E267" s="82" t="s">
        <v>162</v>
      </c>
      <c r="F267" s="82" t="s">
        <v>447</v>
      </c>
      <c r="G267" s="62" t="str">
        <f t="shared" ca="1" si="17"/>
        <v>Concluído</v>
      </c>
      <c r="H267" s="99">
        <v>45672</v>
      </c>
      <c r="I267" s="73">
        <v>1</v>
      </c>
      <c r="J267" s="53">
        <f t="shared" si="16"/>
        <v>24.324324324324326</v>
      </c>
      <c r="K267" s="84">
        <v>45658</v>
      </c>
      <c r="L267" s="85">
        <v>45672</v>
      </c>
      <c r="M267" s="68">
        <f t="shared" si="18"/>
        <v>15</v>
      </c>
      <c r="N267" s="69">
        <f>IFERROR(INDEX(Tabela3[ID_Responsavel], MATCH(O267,Tabela3[[Responsáveis ]], 0)), "Não encontrado")</f>
        <v>16</v>
      </c>
      <c r="O267" s="58" t="s">
        <v>158</v>
      </c>
      <c r="P267" s="59" t="s">
        <v>48</v>
      </c>
      <c r="Q267" s="60" t="s">
        <v>544</v>
      </c>
    </row>
    <row r="268" spans="1:17" ht="16.5" hidden="1">
      <c r="A268" s="113">
        <f>IFERROR(INDEX(Tabela2[ID_Area], MATCH(B268,Tabela2[Area], 0)), "Não encontrado")</f>
        <v>1003</v>
      </c>
      <c r="B268" s="47" t="s">
        <v>92</v>
      </c>
      <c r="C268" s="48" t="s">
        <v>259</v>
      </c>
      <c r="D268" s="62">
        <f>IFERROR(INDEX(Metas!$D$2:$D$104, MATCH(E268,Metas!$E$2:$E$104, 0)), "Não encontrado")</f>
        <v>186</v>
      </c>
      <c r="E268" s="82" t="s">
        <v>162</v>
      </c>
      <c r="F268" s="82" t="s">
        <v>545</v>
      </c>
      <c r="G268" s="62" t="str">
        <f t="shared" ca="1" si="17"/>
        <v>Concluído</v>
      </c>
      <c r="H268" s="99">
        <v>45702</v>
      </c>
      <c r="I268" s="73">
        <v>1</v>
      </c>
      <c r="J268" s="53">
        <f t="shared" si="16"/>
        <v>50.270270270270267</v>
      </c>
      <c r="K268" s="84">
        <v>45673</v>
      </c>
      <c r="L268" s="85">
        <v>45703</v>
      </c>
      <c r="M268" s="68">
        <f t="shared" si="18"/>
        <v>31</v>
      </c>
      <c r="N268" s="69">
        <f>IFERROR(INDEX(Tabela3[ID_Responsavel], MATCH(O268,Tabela3[[Responsáveis ]], 0)), "Não encontrado")</f>
        <v>16</v>
      </c>
      <c r="O268" s="58" t="s">
        <v>158</v>
      </c>
      <c r="P268" s="59" t="s">
        <v>48</v>
      </c>
      <c r="Q268" s="60" t="s">
        <v>546</v>
      </c>
    </row>
    <row r="269" spans="1:17" ht="16.5" hidden="1">
      <c r="A269" s="117">
        <f>IFERROR(INDEX(Tabela2[ID_Area], MATCH(B269,Tabela2[Area], 0)), "Não encontrado")</f>
        <v>1003</v>
      </c>
      <c r="B269" s="47" t="s">
        <v>92</v>
      </c>
      <c r="C269" s="48" t="s">
        <v>259</v>
      </c>
      <c r="D269" s="62">
        <f>IFERROR(INDEX(Metas!$D$2:$D$104, MATCH(E269,Metas!$E$2:$E$104, 0)), "Não encontrado")</f>
        <v>186</v>
      </c>
      <c r="E269" s="82" t="s">
        <v>162</v>
      </c>
      <c r="F269" s="82" t="s">
        <v>547</v>
      </c>
      <c r="G269" s="62" t="str">
        <f t="shared" ca="1" si="17"/>
        <v>Concluído</v>
      </c>
      <c r="H269" s="99">
        <v>45729</v>
      </c>
      <c r="I269" s="73">
        <v>1</v>
      </c>
      <c r="J269" s="53">
        <f t="shared" si="16"/>
        <v>45.405405405405411</v>
      </c>
      <c r="K269" s="84">
        <v>45704</v>
      </c>
      <c r="L269" s="85">
        <v>45731</v>
      </c>
      <c r="M269" s="68">
        <f t="shared" si="18"/>
        <v>28</v>
      </c>
      <c r="N269" s="69">
        <f>IFERROR(INDEX(Tabela3[ID_Responsavel], MATCH(O269,Tabela3[[Responsáveis ]], 0)), "Não encontrado")</f>
        <v>16</v>
      </c>
      <c r="O269" s="58" t="s">
        <v>158</v>
      </c>
      <c r="P269" s="59" t="s">
        <v>48</v>
      </c>
      <c r="Q269" s="60" t="s">
        <v>548</v>
      </c>
    </row>
    <row r="270" spans="1:17" ht="16.5" hidden="1">
      <c r="A270" s="113">
        <f>IFERROR(INDEX(Tabela2[ID_Area], MATCH(B270,Tabela2[Area], 0)), "Não encontrado")</f>
        <v>1003</v>
      </c>
      <c r="B270" s="47" t="s">
        <v>92</v>
      </c>
      <c r="C270" s="48" t="s">
        <v>259</v>
      </c>
      <c r="D270" s="62">
        <f>IFERROR(INDEX(Metas!$D$2:$D$104, MATCH(E270,Metas!$E$2:$E$104, 0)), "Não encontrado")</f>
        <v>185</v>
      </c>
      <c r="E270" s="82" t="s">
        <v>161</v>
      </c>
      <c r="F270" s="82" t="s">
        <v>447</v>
      </c>
      <c r="G270" s="62" t="str">
        <f t="shared" ca="1" si="17"/>
        <v>Concluído</v>
      </c>
      <c r="H270" s="99">
        <v>45687</v>
      </c>
      <c r="I270" s="73">
        <v>1</v>
      </c>
      <c r="J270" s="53">
        <f t="shared" si="16"/>
        <v>11.238670694864048</v>
      </c>
      <c r="K270" s="84">
        <v>45658</v>
      </c>
      <c r="L270" s="85">
        <v>45688</v>
      </c>
      <c r="M270" s="68">
        <f t="shared" si="18"/>
        <v>31</v>
      </c>
      <c r="N270" s="69">
        <f>IFERROR(INDEX(Tabela3[ID_Responsavel], MATCH(O270,Tabela3[[Responsáveis ]], 0)), "Não encontrado")</f>
        <v>16</v>
      </c>
      <c r="O270" s="58" t="s">
        <v>158</v>
      </c>
      <c r="P270" s="59" t="s">
        <v>48</v>
      </c>
      <c r="Q270" s="60" t="s">
        <v>549</v>
      </c>
    </row>
    <row r="271" spans="1:17" ht="16.5" hidden="1">
      <c r="A271" s="117">
        <f>IFERROR(INDEX(Tabela2[ID_Area], MATCH(B271,Tabela2[Area], 0)), "Não encontrado")</f>
        <v>1003</v>
      </c>
      <c r="B271" s="47" t="s">
        <v>92</v>
      </c>
      <c r="C271" s="48" t="s">
        <v>259</v>
      </c>
      <c r="D271" s="62">
        <f>IFERROR(INDEX(Metas!$D$2:$D$104, MATCH(E271,Metas!$E$2:$E$104, 0)), "Não encontrado")</f>
        <v>185</v>
      </c>
      <c r="E271" s="82" t="s">
        <v>161</v>
      </c>
      <c r="F271" s="82" t="s">
        <v>550</v>
      </c>
      <c r="G271" s="62" t="str">
        <f t="shared" ca="1" si="17"/>
        <v>Concluído</v>
      </c>
      <c r="H271" s="99">
        <v>45713</v>
      </c>
      <c r="I271" s="73">
        <v>1</v>
      </c>
      <c r="J271" s="53">
        <f t="shared" si="16"/>
        <v>9.788519637462235</v>
      </c>
      <c r="K271" s="84">
        <v>45690</v>
      </c>
      <c r="L271" s="85">
        <v>45716</v>
      </c>
      <c r="M271" s="68">
        <f t="shared" si="18"/>
        <v>27</v>
      </c>
      <c r="N271" s="69">
        <f>IFERROR(INDEX(Tabela3[ID_Responsavel], MATCH(O271,Tabela3[[Responsáveis ]], 0)), "Não encontrado")</f>
        <v>16</v>
      </c>
      <c r="O271" s="58" t="s">
        <v>158</v>
      </c>
      <c r="P271" s="59" t="s">
        <v>48</v>
      </c>
      <c r="Q271" s="60" t="s">
        <v>551</v>
      </c>
    </row>
    <row r="272" spans="1:17" ht="16.5" hidden="1">
      <c r="A272" s="113">
        <f>IFERROR(INDEX(Tabela2[ID_Area], MATCH(B272,Tabela2[Area], 0)), "Não encontrado")</f>
        <v>1003</v>
      </c>
      <c r="B272" s="47" t="s">
        <v>92</v>
      </c>
      <c r="C272" s="48" t="s">
        <v>259</v>
      </c>
      <c r="D272" s="62">
        <f>IFERROR(INDEX(Metas!$D$2:$D$104, MATCH(E272,Metas!$E$2:$E$104, 0)), "Não encontrado")</f>
        <v>185</v>
      </c>
      <c r="E272" s="82" t="s">
        <v>161</v>
      </c>
      <c r="F272" s="82" t="s">
        <v>552</v>
      </c>
      <c r="G272" s="62" t="str">
        <f t="shared" ca="1" si="17"/>
        <v>Concluído</v>
      </c>
      <c r="H272" s="99">
        <v>45744</v>
      </c>
      <c r="I272" s="73">
        <v>1</v>
      </c>
      <c r="J272" s="53">
        <f t="shared" si="16"/>
        <v>10.876132930513595</v>
      </c>
      <c r="K272" s="84">
        <v>45717</v>
      </c>
      <c r="L272" s="85">
        <v>45746</v>
      </c>
      <c r="M272" s="68">
        <f t="shared" si="18"/>
        <v>30</v>
      </c>
      <c r="N272" s="69">
        <f>IFERROR(INDEX(Tabela3[ID_Responsavel], MATCH(O272,Tabela3[[Responsáveis ]], 0)), "Não encontrado")</f>
        <v>16</v>
      </c>
      <c r="O272" s="58" t="s">
        <v>158</v>
      </c>
      <c r="P272" s="59" t="s">
        <v>48</v>
      </c>
      <c r="Q272" s="60" t="s">
        <v>553</v>
      </c>
    </row>
    <row r="273" spans="1:17" ht="16.5" hidden="1">
      <c r="A273" s="117">
        <f>IFERROR(INDEX(Tabela2[ID_Area], MATCH(B273,Tabela2[Area], 0)), "Não encontrado")</f>
        <v>1003</v>
      </c>
      <c r="B273" s="47" t="s">
        <v>92</v>
      </c>
      <c r="C273" s="48" t="s">
        <v>259</v>
      </c>
      <c r="D273" s="62">
        <f>IFERROR(INDEX(Metas!$D$2:$D$104, MATCH(E273,Metas!$E$2:$E$104, 0)), "Não encontrado")</f>
        <v>185</v>
      </c>
      <c r="E273" s="82" t="s">
        <v>161</v>
      </c>
      <c r="F273" s="82" t="s">
        <v>554</v>
      </c>
      <c r="G273" s="62" t="str">
        <f t="shared" ca="1" si="17"/>
        <v>Concluído</v>
      </c>
      <c r="H273" s="99">
        <v>45884</v>
      </c>
      <c r="I273" s="73">
        <v>1</v>
      </c>
      <c r="J273" s="53">
        <f t="shared" si="16"/>
        <v>77.220543806646518</v>
      </c>
      <c r="K273" s="84">
        <v>45748</v>
      </c>
      <c r="L273" s="85">
        <v>45960</v>
      </c>
      <c r="M273" s="68">
        <f t="shared" si="18"/>
        <v>213</v>
      </c>
      <c r="N273" s="69">
        <f>IFERROR(INDEX(Tabela3[ID_Responsavel], MATCH(O273,Tabela3[[Responsáveis ]], 0)), "Não encontrado")</f>
        <v>16</v>
      </c>
      <c r="O273" s="58" t="s">
        <v>158</v>
      </c>
      <c r="P273" s="59" t="s">
        <v>48</v>
      </c>
      <c r="Q273" s="60" t="s">
        <v>555</v>
      </c>
    </row>
    <row r="274" spans="1:17" ht="16.5" hidden="1">
      <c r="A274" s="113">
        <f>IFERROR(INDEX(Tabela2[ID_Area], MATCH(B274,Tabela2[Area], 0)), "Não encontrado")</f>
        <v>1003</v>
      </c>
      <c r="B274" s="47" t="s">
        <v>92</v>
      </c>
      <c r="C274" s="48" t="s">
        <v>259</v>
      </c>
      <c r="D274" s="62">
        <f>IFERROR(INDEX(Metas!$D$2:$D$104, MATCH(E274,Metas!$E$2:$E$104, 0)), "Não encontrado")</f>
        <v>185</v>
      </c>
      <c r="E274" s="82" t="s">
        <v>161</v>
      </c>
      <c r="F274" s="82" t="s">
        <v>556</v>
      </c>
      <c r="G274" s="62" t="str">
        <f t="shared" ca="1" si="17"/>
        <v>Concluído</v>
      </c>
      <c r="H274" s="99">
        <v>45991</v>
      </c>
      <c r="I274" s="73">
        <v>1</v>
      </c>
      <c r="J274" s="53">
        <f t="shared" si="16"/>
        <v>10.876132930513595</v>
      </c>
      <c r="K274" s="84">
        <v>45962</v>
      </c>
      <c r="L274" s="85">
        <v>45991</v>
      </c>
      <c r="M274" s="68">
        <f t="shared" si="18"/>
        <v>30</v>
      </c>
      <c r="N274" s="69">
        <f>IFERROR(INDEX(Tabela3[ID_Responsavel], MATCH(O274,Tabela3[[Responsáveis ]], 0)), "Não encontrado")</f>
        <v>16</v>
      </c>
      <c r="O274" s="58" t="s">
        <v>158</v>
      </c>
      <c r="P274" s="59" t="s">
        <v>48</v>
      </c>
      <c r="Q274" s="60" t="s">
        <v>557</v>
      </c>
    </row>
    <row r="275" spans="1:17" ht="30.75" hidden="1">
      <c r="A275" s="117">
        <f>IFERROR(INDEX(Tabela2[ID_Area], MATCH(B275,Tabela2[Area], 0)), "Não encontrado")</f>
        <v>1003</v>
      </c>
      <c r="B275" s="47" t="s">
        <v>92</v>
      </c>
      <c r="C275" s="48" t="s">
        <v>516</v>
      </c>
      <c r="D275" s="62">
        <f>IFERROR(INDEX(Metas!$D$2:$D$104, MATCH(E275,Metas!$E$2:$E$104, 0)), "Não encontrado")</f>
        <v>187</v>
      </c>
      <c r="E275" s="82" t="s">
        <v>163</v>
      </c>
      <c r="F275" s="82" t="s">
        <v>558</v>
      </c>
      <c r="G275" s="62" t="str">
        <f t="shared" ca="1" si="17"/>
        <v>Concluído</v>
      </c>
      <c r="H275" s="99">
        <v>45695</v>
      </c>
      <c r="I275" s="73">
        <v>1</v>
      </c>
      <c r="J275" s="53">
        <f t="shared" si="16"/>
        <v>2.867924528301887</v>
      </c>
      <c r="K275" s="84">
        <v>45658</v>
      </c>
      <c r="L275" s="85">
        <v>45695</v>
      </c>
      <c r="M275" s="68">
        <f t="shared" si="18"/>
        <v>38</v>
      </c>
      <c r="N275" s="69">
        <f>IFERROR(INDEX(Tabela3[ID_Responsavel], MATCH(O275,Tabela3[[Responsáveis ]], 0)), "Não encontrado")</f>
        <v>11</v>
      </c>
      <c r="O275" s="58" t="s">
        <v>149</v>
      </c>
      <c r="P275" s="59" t="s">
        <v>48</v>
      </c>
      <c r="Q275" s="60" t="s">
        <v>559</v>
      </c>
    </row>
    <row r="276" spans="1:17" ht="30.75" hidden="1">
      <c r="A276" s="113">
        <f>IFERROR(INDEX(Tabela2[ID_Area], MATCH(B276,Tabela2[Area], 0)), "Não encontrado")</f>
        <v>1003</v>
      </c>
      <c r="B276" s="47" t="s">
        <v>92</v>
      </c>
      <c r="C276" s="48" t="s">
        <v>516</v>
      </c>
      <c r="D276" s="62">
        <f>IFERROR(INDEX(Metas!$D$2:$D$104, MATCH(E276,Metas!$E$2:$E$104, 0)), "Não encontrado")</f>
        <v>187</v>
      </c>
      <c r="E276" s="82" t="s">
        <v>163</v>
      </c>
      <c r="F276" s="82" t="s">
        <v>560</v>
      </c>
      <c r="G276" s="62" t="str">
        <f t="shared" ca="1" si="17"/>
        <v>Concluído</v>
      </c>
      <c r="H276" s="99">
        <v>45695</v>
      </c>
      <c r="I276" s="73">
        <v>1</v>
      </c>
      <c r="J276" s="53">
        <f t="shared" si="16"/>
        <v>2.2641509433962264</v>
      </c>
      <c r="K276" s="84">
        <v>45658</v>
      </c>
      <c r="L276" s="85">
        <v>45687</v>
      </c>
      <c r="M276" s="68">
        <f t="shared" si="18"/>
        <v>30</v>
      </c>
      <c r="N276" s="69">
        <f>IFERROR(INDEX(Tabela3[ID_Responsavel], MATCH(O276,Tabela3[[Responsáveis ]], 0)), "Não encontrado")</f>
        <v>11</v>
      </c>
      <c r="O276" s="58" t="s">
        <v>149</v>
      </c>
      <c r="P276" s="59" t="s">
        <v>48</v>
      </c>
      <c r="Q276" s="60" t="s">
        <v>561</v>
      </c>
    </row>
    <row r="277" spans="1:17" ht="30.75" hidden="1">
      <c r="A277" s="117">
        <f>IFERROR(INDEX(Tabela2[ID_Area], MATCH(B277,Tabela2[Area], 0)), "Não encontrado")</f>
        <v>1003</v>
      </c>
      <c r="B277" s="47" t="s">
        <v>92</v>
      </c>
      <c r="C277" s="48" t="s">
        <v>516</v>
      </c>
      <c r="D277" s="62">
        <f>IFERROR(INDEX(Metas!$D$2:$D$104, MATCH(E277,Metas!$E$2:$E$104, 0)), "Não encontrado")</f>
        <v>187</v>
      </c>
      <c r="E277" s="82" t="s">
        <v>163</v>
      </c>
      <c r="F277" s="82" t="s">
        <v>562</v>
      </c>
      <c r="G277" s="62" t="str">
        <f t="shared" ca="1" si="17"/>
        <v>Concluído</v>
      </c>
      <c r="H277" s="99">
        <v>45695</v>
      </c>
      <c r="I277" s="73">
        <v>1</v>
      </c>
      <c r="J277" s="53">
        <f t="shared" si="16"/>
        <v>2.3396226415094339</v>
      </c>
      <c r="K277" s="84">
        <v>45658</v>
      </c>
      <c r="L277" s="85">
        <v>45688</v>
      </c>
      <c r="M277" s="68">
        <f t="shared" si="18"/>
        <v>31</v>
      </c>
      <c r="N277" s="69">
        <f>IFERROR(INDEX(Tabela3[ID_Responsavel], MATCH(O277,Tabela3[[Responsáveis ]], 0)), "Não encontrado")</f>
        <v>11</v>
      </c>
      <c r="O277" s="58" t="s">
        <v>149</v>
      </c>
      <c r="P277" s="59" t="s">
        <v>48</v>
      </c>
      <c r="Q277" s="60" t="s">
        <v>563</v>
      </c>
    </row>
    <row r="278" spans="1:17" ht="30.75" hidden="1">
      <c r="A278" s="113">
        <f>IFERROR(INDEX(Tabela2[ID_Area], MATCH(B278,Tabela2[Area], 0)), "Não encontrado")</f>
        <v>1003</v>
      </c>
      <c r="B278" s="47" t="s">
        <v>92</v>
      </c>
      <c r="C278" s="48" t="s">
        <v>516</v>
      </c>
      <c r="D278" s="62">
        <f>IFERROR(INDEX(Metas!$D$2:$D$104, MATCH(E278,Metas!$E$2:$E$104, 0)), "Não encontrado")</f>
        <v>187</v>
      </c>
      <c r="E278" s="82" t="s">
        <v>163</v>
      </c>
      <c r="F278" s="82" t="s">
        <v>564</v>
      </c>
      <c r="G278" s="62" t="str">
        <f t="shared" ca="1" si="17"/>
        <v>Concluído</v>
      </c>
      <c r="H278" s="99">
        <v>46008</v>
      </c>
      <c r="I278" s="73">
        <v>1</v>
      </c>
      <c r="J278" s="53">
        <f t="shared" si="16"/>
        <v>27.547169811320757</v>
      </c>
      <c r="K278" s="84">
        <v>45658</v>
      </c>
      <c r="L278" s="85">
        <v>46022</v>
      </c>
      <c r="M278" s="68">
        <f t="shared" si="18"/>
        <v>365</v>
      </c>
      <c r="N278" s="69">
        <f>IFERROR(INDEX(Tabela3[ID_Responsavel], MATCH(O278,Tabela3[[Responsáveis ]], 0)), "Não encontrado")</f>
        <v>11</v>
      </c>
      <c r="O278" s="58" t="s">
        <v>149</v>
      </c>
      <c r="P278" s="59" t="s">
        <v>48</v>
      </c>
      <c r="Q278" s="60" t="s">
        <v>565</v>
      </c>
    </row>
    <row r="279" spans="1:17" ht="30.75" hidden="1">
      <c r="A279" s="117">
        <f>IFERROR(INDEX(Tabela2[ID_Area], MATCH(B279,Tabela2[Area], 0)), "Não encontrado")</f>
        <v>1003</v>
      </c>
      <c r="B279" s="47" t="s">
        <v>92</v>
      </c>
      <c r="C279" s="48" t="s">
        <v>516</v>
      </c>
      <c r="D279" s="62">
        <f>IFERROR(INDEX(Metas!$D$2:$D$104, MATCH(E279,Metas!$E$2:$E$104, 0)), "Não encontrado")</f>
        <v>187</v>
      </c>
      <c r="E279" s="82" t="s">
        <v>163</v>
      </c>
      <c r="F279" s="82" t="s">
        <v>566</v>
      </c>
      <c r="G279" s="62" t="str">
        <f t="shared" ca="1" si="17"/>
        <v>Concluído</v>
      </c>
      <c r="H279" s="99">
        <v>46008</v>
      </c>
      <c r="I279" s="73">
        <v>1</v>
      </c>
      <c r="J279" s="53">
        <f t="shared" si="16"/>
        <v>27.547169811320757</v>
      </c>
      <c r="K279" s="84">
        <v>45658</v>
      </c>
      <c r="L279" s="85">
        <v>46022</v>
      </c>
      <c r="M279" s="68">
        <f t="shared" si="18"/>
        <v>365</v>
      </c>
      <c r="N279" s="69">
        <f>IFERROR(INDEX(Tabela3[ID_Responsavel], MATCH(O279,Tabela3[[Responsáveis ]], 0)), "Não encontrado")</f>
        <v>11</v>
      </c>
      <c r="O279" s="58" t="s">
        <v>149</v>
      </c>
      <c r="P279" s="59" t="s">
        <v>48</v>
      </c>
      <c r="Q279" s="60" t="s">
        <v>565</v>
      </c>
    </row>
    <row r="280" spans="1:17" ht="30.75" hidden="1">
      <c r="A280" s="113">
        <f>IFERROR(INDEX(Tabela2[ID_Area], MATCH(B280,Tabela2[Area], 0)), "Não encontrado")</f>
        <v>1003</v>
      </c>
      <c r="B280" s="47" t="s">
        <v>92</v>
      </c>
      <c r="C280" s="48" t="s">
        <v>516</v>
      </c>
      <c r="D280" s="62">
        <f>IFERROR(INDEX(Metas!$D$2:$D$104, MATCH(E280,Metas!$E$2:$E$104, 0)), "Não encontrado")</f>
        <v>187</v>
      </c>
      <c r="E280" s="82" t="s">
        <v>163</v>
      </c>
      <c r="F280" s="82" t="s">
        <v>567</v>
      </c>
      <c r="G280" s="62" t="str">
        <f t="shared" ca="1" si="17"/>
        <v>Concluído</v>
      </c>
      <c r="H280" s="99">
        <v>46008</v>
      </c>
      <c r="I280" s="73">
        <v>1</v>
      </c>
      <c r="J280" s="53">
        <f t="shared" si="16"/>
        <v>27.547169811320757</v>
      </c>
      <c r="K280" s="84">
        <v>45658</v>
      </c>
      <c r="L280" s="85">
        <v>46022</v>
      </c>
      <c r="M280" s="68">
        <f t="shared" si="18"/>
        <v>365</v>
      </c>
      <c r="N280" s="69">
        <f>IFERROR(INDEX(Tabela3[ID_Responsavel], MATCH(O280,Tabela3[[Responsáveis ]], 0)), "Não encontrado")</f>
        <v>11</v>
      </c>
      <c r="O280" s="58" t="s">
        <v>149</v>
      </c>
      <c r="P280" s="59" t="s">
        <v>48</v>
      </c>
      <c r="Q280" s="60" t="s">
        <v>568</v>
      </c>
    </row>
    <row r="281" spans="1:17" ht="30.75" hidden="1">
      <c r="A281" s="117">
        <f>IFERROR(INDEX(Tabela2[ID_Area], MATCH(B281,Tabela2[Area], 0)), "Não encontrado")</f>
        <v>1003</v>
      </c>
      <c r="B281" s="47" t="s">
        <v>92</v>
      </c>
      <c r="C281" s="48" t="s">
        <v>516</v>
      </c>
      <c r="D281" s="62">
        <f>IFERROR(INDEX(Metas!$D$2:$D$104, MATCH(E281,Metas!$E$2:$E$104, 0)), "Não encontrado")</f>
        <v>187</v>
      </c>
      <c r="E281" s="82" t="s">
        <v>163</v>
      </c>
      <c r="F281" s="82" t="s">
        <v>569</v>
      </c>
      <c r="G281" s="62" t="str">
        <f t="shared" ca="1" si="17"/>
        <v>Concluído</v>
      </c>
      <c r="H281" s="99">
        <v>46008</v>
      </c>
      <c r="I281" s="73">
        <v>1</v>
      </c>
      <c r="J281" s="53">
        <f t="shared" si="16"/>
        <v>27.547169811320757</v>
      </c>
      <c r="K281" s="84">
        <v>45658</v>
      </c>
      <c r="L281" s="85">
        <v>46022</v>
      </c>
      <c r="M281" s="68">
        <f t="shared" si="18"/>
        <v>365</v>
      </c>
      <c r="N281" s="69">
        <f>IFERROR(INDEX(Tabela3[ID_Responsavel], MATCH(O281,Tabela3[[Responsáveis ]], 0)), "Não encontrado")</f>
        <v>11</v>
      </c>
      <c r="O281" s="58" t="s">
        <v>149</v>
      </c>
      <c r="P281" s="59" t="s">
        <v>48</v>
      </c>
      <c r="Q281" s="60" t="s">
        <v>570</v>
      </c>
    </row>
    <row r="282" spans="1:17" ht="30.75" hidden="1">
      <c r="A282" s="113">
        <f>IFERROR(INDEX(Tabela2[ID_Area], MATCH(B282,Tabela2[Area], 0)), "Não encontrado")</f>
        <v>1003</v>
      </c>
      <c r="B282" s="47" t="s">
        <v>92</v>
      </c>
      <c r="C282" s="48" t="s">
        <v>516</v>
      </c>
      <c r="D282" s="62">
        <f>IFERROR(INDEX(Metas!$D$2:$D$104, MATCH(E282,Metas!$E$2:$E$104, 0)), "Não encontrado")</f>
        <v>187</v>
      </c>
      <c r="E282" s="82" t="s">
        <v>163</v>
      </c>
      <c r="F282" s="82" t="s">
        <v>571</v>
      </c>
      <c r="G282" s="62" t="str">
        <f t="shared" ca="1" si="17"/>
        <v>Concluído</v>
      </c>
      <c r="H282" s="99">
        <v>46008</v>
      </c>
      <c r="I282" s="73">
        <v>1</v>
      </c>
      <c r="J282" s="53">
        <f t="shared" si="16"/>
        <v>2.3396226415094339</v>
      </c>
      <c r="K282" s="84">
        <v>45992</v>
      </c>
      <c r="L282" s="85">
        <v>46022</v>
      </c>
      <c r="M282" s="68">
        <f t="shared" si="18"/>
        <v>31</v>
      </c>
      <c r="N282" s="69">
        <f>IFERROR(INDEX(Tabela3[ID_Responsavel], MATCH(O282,Tabela3[[Responsáveis ]], 0)), "Não encontrado")</f>
        <v>11</v>
      </c>
      <c r="O282" s="58" t="s">
        <v>149</v>
      </c>
      <c r="P282" s="59" t="s">
        <v>48</v>
      </c>
      <c r="Q282" s="60" t="s">
        <v>572</v>
      </c>
    </row>
    <row r="283" spans="1:17" ht="30.75" hidden="1">
      <c r="A283" s="117">
        <f>IFERROR(INDEX(Tabela2[ID_Area], MATCH(B283,Tabela2[Area], 0)), "Não encontrado")</f>
        <v>1003</v>
      </c>
      <c r="B283" s="47" t="s">
        <v>92</v>
      </c>
      <c r="C283" s="48" t="s">
        <v>55</v>
      </c>
      <c r="D283" s="62">
        <f>IFERROR(INDEX(Metas!$D$2:$D$104, MATCH(E283,Metas!$E$2:$E$104, 0)), "Não encontrado")</f>
        <v>188</v>
      </c>
      <c r="E283" s="82" t="s">
        <v>164</v>
      </c>
      <c r="F283" s="82" t="s">
        <v>558</v>
      </c>
      <c r="G283" s="62" t="str">
        <f t="shared" ca="1" si="17"/>
        <v>Concluído</v>
      </c>
      <c r="H283" s="99">
        <v>45695</v>
      </c>
      <c r="I283" s="73">
        <v>1</v>
      </c>
      <c r="J283" s="53">
        <f t="shared" si="16"/>
        <v>2.867924528301887</v>
      </c>
      <c r="K283" s="84">
        <v>45658</v>
      </c>
      <c r="L283" s="85">
        <v>45695</v>
      </c>
      <c r="M283" s="68">
        <f t="shared" si="18"/>
        <v>38</v>
      </c>
      <c r="N283" s="69">
        <f>IFERROR(INDEX(Tabela3[ID_Responsavel], MATCH(O283,Tabela3[[Responsáveis ]], 0)), "Não encontrado")</f>
        <v>15</v>
      </c>
      <c r="O283" s="58" t="s">
        <v>154</v>
      </c>
      <c r="P283" s="59" t="s">
        <v>48</v>
      </c>
      <c r="Q283" s="60" t="s">
        <v>573</v>
      </c>
    </row>
    <row r="284" spans="1:17" ht="30.75" hidden="1">
      <c r="A284" s="113">
        <f>IFERROR(INDEX(Tabela2[ID_Area], MATCH(B284,Tabela2[Area], 0)), "Não encontrado")</f>
        <v>1003</v>
      </c>
      <c r="B284" s="47" t="s">
        <v>92</v>
      </c>
      <c r="C284" s="48" t="s">
        <v>55</v>
      </c>
      <c r="D284" s="62">
        <f>IFERROR(INDEX(Metas!$D$2:$D$104, MATCH(E284,Metas!$E$2:$E$104, 0)), "Não encontrado")</f>
        <v>188</v>
      </c>
      <c r="E284" s="82" t="s">
        <v>164</v>
      </c>
      <c r="F284" s="82" t="s">
        <v>560</v>
      </c>
      <c r="G284" s="62" t="str">
        <f t="shared" ca="1" si="17"/>
        <v>Concluído</v>
      </c>
      <c r="H284" s="99">
        <v>45695</v>
      </c>
      <c r="I284" s="73">
        <v>1</v>
      </c>
      <c r="J284" s="53">
        <f t="shared" si="16"/>
        <v>2.2641509433962264</v>
      </c>
      <c r="K284" s="84">
        <v>45658</v>
      </c>
      <c r="L284" s="85">
        <v>45687</v>
      </c>
      <c r="M284" s="68">
        <f t="shared" si="18"/>
        <v>30</v>
      </c>
      <c r="N284" s="69">
        <f>IFERROR(INDEX(Tabela3[ID_Responsavel], MATCH(O284,Tabela3[[Responsáveis ]], 0)), "Não encontrado")</f>
        <v>15</v>
      </c>
      <c r="O284" s="58" t="s">
        <v>154</v>
      </c>
      <c r="P284" s="59" t="s">
        <v>48</v>
      </c>
      <c r="Q284" s="60" t="s">
        <v>574</v>
      </c>
    </row>
    <row r="285" spans="1:17" ht="30.75" hidden="1">
      <c r="A285" s="117">
        <f>IFERROR(INDEX(Tabela2[ID_Area], MATCH(B285,Tabela2[Area], 0)), "Não encontrado")</f>
        <v>1003</v>
      </c>
      <c r="B285" s="47" t="s">
        <v>92</v>
      </c>
      <c r="C285" s="48" t="s">
        <v>55</v>
      </c>
      <c r="D285" s="62">
        <f>IFERROR(INDEX(Metas!$D$2:$D$104, MATCH(E285,Metas!$E$2:$E$104, 0)), "Não encontrado")</f>
        <v>188</v>
      </c>
      <c r="E285" s="82" t="s">
        <v>164</v>
      </c>
      <c r="F285" s="82" t="s">
        <v>562</v>
      </c>
      <c r="G285" s="62" t="str">
        <f t="shared" ca="1" si="17"/>
        <v>Concluído</v>
      </c>
      <c r="H285" s="99">
        <v>45695</v>
      </c>
      <c r="I285" s="73">
        <v>1</v>
      </c>
      <c r="J285" s="53">
        <f t="shared" si="16"/>
        <v>2.3396226415094339</v>
      </c>
      <c r="K285" s="84">
        <v>45658</v>
      </c>
      <c r="L285" s="85">
        <v>45688</v>
      </c>
      <c r="M285" s="68">
        <f t="shared" si="18"/>
        <v>31</v>
      </c>
      <c r="N285" s="69">
        <f>IFERROR(INDEX(Tabela3[ID_Responsavel], MATCH(O285,Tabela3[[Responsáveis ]], 0)), "Não encontrado")</f>
        <v>15</v>
      </c>
      <c r="O285" s="58" t="s">
        <v>154</v>
      </c>
      <c r="P285" s="59" t="s">
        <v>48</v>
      </c>
      <c r="Q285" s="60" t="s">
        <v>575</v>
      </c>
    </row>
    <row r="286" spans="1:17" ht="30.75" hidden="1">
      <c r="A286" s="113">
        <f>IFERROR(INDEX(Tabela2[ID_Area], MATCH(B286,Tabela2[Area], 0)), "Não encontrado")</f>
        <v>1003</v>
      </c>
      <c r="B286" s="47" t="s">
        <v>92</v>
      </c>
      <c r="C286" s="48" t="s">
        <v>55</v>
      </c>
      <c r="D286" s="62">
        <f>IFERROR(INDEX(Metas!$D$2:$D$104, MATCH(E286,Metas!$E$2:$E$104, 0)), "Não encontrado")</f>
        <v>188</v>
      </c>
      <c r="E286" s="82" t="s">
        <v>164</v>
      </c>
      <c r="F286" s="82" t="s">
        <v>564</v>
      </c>
      <c r="G286" s="62" t="str">
        <f t="shared" ca="1" si="17"/>
        <v>Concluído</v>
      </c>
      <c r="H286" s="99">
        <v>46008</v>
      </c>
      <c r="I286" s="73">
        <v>1</v>
      </c>
      <c r="J286" s="53">
        <f t="shared" si="16"/>
        <v>27.547169811320757</v>
      </c>
      <c r="K286" s="84">
        <v>45658</v>
      </c>
      <c r="L286" s="85">
        <v>46022</v>
      </c>
      <c r="M286" s="68">
        <f t="shared" si="18"/>
        <v>365</v>
      </c>
      <c r="N286" s="69">
        <f>IFERROR(INDEX(Tabela3[ID_Responsavel], MATCH(O286,Tabela3[[Responsáveis ]], 0)), "Não encontrado")</f>
        <v>15</v>
      </c>
      <c r="O286" s="58" t="s">
        <v>154</v>
      </c>
      <c r="P286" s="59" t="s">
        <v>48</v>
      </c>
      <c r="Q286" s="60" t="s">
        <v>576</v>
      </c>
    </row>
    <row r="287" spans="1:17" ht="30.75" hidden="1">
      <c r="A287" s="117">
        <f>IFERROR(INDEX(Tabela2[ID_Area], MATCH(B287,Tabela2[Area], 0)), "Não encontrado")</f>
        <v>1003</v>
      </c>
      <c r="B287" s="47" t="s">
        <v>92</v>
      </c>
      <c r="C287" s="48" t="s">
        <v>55</v>
      </c>
      <c r="D287" s="62">
        <f>IFERROR(INDEX(Metas!$D$2:$D$104, MATCH(E287,Metas!$E$2:$E$104, 0)), "Não encontrado")</f>
        <v>188</v>
      </c>
      <c r="E287" s="82" t="s">
        <v>164</v>
      </c>
      <c r="F287" s="82" t="s">
        <v>566</v>
      </c>
      <c r="G287" s="62" t="str">
        <f t="shared" ca="1" si="17"/>
        <v>Concluído</v>
      </c>
      <c r="H287" s="99">
        <v>46008</v>
      </c>
      <c r="I287" s="73">
        <v>1</v>
      </c>
      <c r="J287" s="53">
        <f t="shared" si="16"/>
        <v>27.547169811320757</v>
      </c>
      <c r="K287" s="84">
        <v>45658</v>
      </c>
      <c r="L287" s="85">
        <v>46022</v>
      </c>
      <c r="M287" s="68">
        <f t="shared" si="18"/>
        <v>365</v>
      </c>
      <c r="N287" s="69">
        <f>IFERROR(INDEX(Tabela3[ID_Responsavel], MATCH(O287,Tabela3[[Responsáveis ]], 0)), "Não encontrado")</f>
        <v>15</v>
      </c>
      <c r="O287" s="58" t="s">
        <v>154</v>
      </c>
      <c r="P287" s="59" t="s">
        <v>48</v>
      </c>
      <c r="Q287" s="60" t="s">
        <v>577</v>
      </c>
    </row>
    <row r="288" spans="1:17" ht="30.75" hidden="1">
      <c r="A288" s="113">
        <f>IFERROR(INDEX(Tabela2[ID_Area], MATCH(B288,Tabela2[Area], 0)), "Não encontrado")</f>
        <v>1003</v>
      </c>
      <c r="B288" s="47" t="s">
        <v>92</v>
      </c>
      <c r="C288" s="48" t="s">
        <v>55</v>
      </c>
      <c r="D288" s="62">
        <f>IFERROR(INDEX(Metas!$D$2:$D$104, MATCH(E288,Metas!$E$2:$E$104, 0)), "Não encontrado")</f>
        <v>188</v>
      </c>
      <c r="E288" s="82" t="s">
        <v>164</v>
      </c>
      <c r="F288" s="82" t="s">
        <v>567</v>
      </c>
      <c r="G288" s="62" t="str">
        <f t="shared" ca="1" si="17"/>
        <v>Concluído</v>
      </c>
      <c r="H288" s="99">
        <v>46008</v>
      </c>
      <c r="I288" s="73">
        <v>1</v>
      </c>
      <c r="J288" s="53">
        <f t="shared" si="16"/>
        <v>27.547169811320757</v>
      </c>
      <c r="K288" s="84">
        <v>45658</v>
      </c>
      <c r="L288" s="85">
        <v>46022</v>
      </c>
      <c r="M288" s="68">
        <f t="shared" si="18"/>
        <v>365</v>
      </c>
      <c r="N288" s="69">
        <f>IFERROR(INDEX(Tabela3[ID_Responsavel], MATCH(O288,Tabela3[[Responsáveis ]], 0)), "Não encontrado")</f>
        <v>15</v>
      </c>
      <c r="O288" s="58" t="s">
        <v>154</v>
      </c>
      <c r="P288" s="59" t="s">
        <v>48</v>
      </c>
      <c r="Q288" s="60" t="s">
        <v>578</v>
      </c>
    </row>
    <row r="289" spans="1:17" ht="30.75" hidden="1">
      <c r="A289" s="117">
        <f>IFERROR(INDEX(Tabela2[ID_Area], MATCH(B289,Tabela2[Area], 0)), "Não encontrado")</f>
        <v>1003</v>
      </c>
      <c r="B289" s="47" t="s">
        <v>92</v>
      </c>
      <c r="C289" s="48" t="s">
        <v>55</v>
      </c>
      <c r="D289" s="62">
        <f>IFERROR(INDEX(Metas!$D$2:$D$104, MATCH(E289,Metas!$E$2:$E$104, 0)), "Não encontrado")</f>
        <v>188</v>
      </c>
      <c r="E289" s="82" t="s">
        <v>164</v>
      </c>
      <c r="F289" s="82" t="s">
        <v>569</v>
      </c>
      <c r="G289" s="62" t="str">
        <f t="shared" ca="1" si="17"/>
        <v>Concluído</v>
      </c>
      <c r="H289" s="99">
        <v>46008</v>
      </c>
      <c r="I289" s="73">
        <v>1</v>
      </c>
      <c r="J289" s="53">
        <f t="shared" si="16"/>
        <v>27.547169811320757</v>
      </c>
      <c r="K289" s="84">
        <v>45658</v>
      </c>
      <c r="L289" s="85">
        <v>46022</v>
      </c>
      <c r="M289" s="68">
        <f t="shared" si="18"/>
        <v>365</v>
      </c>
      <c r="N289" s="69">
        <f>IFERROR(INDEX(Tabela3[ID_Responsavel], MATCH(O289,Tabela3[[Responsáveis ]], 0)), "Não encontrado")</f>
        <v>15</v>
      </c>
      <c r="O289" s="58" t="s">
        <v>154</v>
      </c>
      <c r="P289" s="59" t="s">
        <v>48</v>
      </c>
      <c r="Q289" s="60" t="s">
        <v>579</v>
      </c>
    </row>
    <row r="290" spans="1:17" ht="30.75" hidden="1">
      <c r="A290" s="113">
        <f>IFERROR(INDEX(Tabela2[ID_Area], MATCH(B290,Tabela2[Area], 0)), "Não encontrado")</f>
        <v>1003</v>
      </c>
      <c r="B290" s="47" t="s">
        <v>92</v>
      </c>
      <c r="C290" s="48" t="s">
        <v>55</v>
      </c>
      <c r="D290" s="62">
        <f>IFERROR(INDEX(Metas!$D$2:$D$104, MATCH(E290,Metas!$E$2:$E$104, 0)), "Não encontrado")</f>
        <v>188</v>
      </c>
      <c r="E290" s="82" t="s">
        <v>164</v>
      </c>
      <c r="F290" s="82" t="s">
        <v>571</v>
      </c>
      <c r="G290" s="62" t="str">
        <f t="shared" ca="1" si="17"/>
        <v>Concluído</v>
      </c>
      <c r="H290" s="99">
        <v>46008</v>
      </c>
      <c r="I290" s="73">
        <v>1</v>
      </c>
      <c r="J290" s="53">
        <f t="shared" si="16"/>
        <v>2.3396226415094339</v>
      </c>
      <c r="K290" s="84">
        <v>45992</v>
      </c>
      <c r="L290" s="85">
        <v>46022</v>
      </c>
      <c r="M290" s="68">
        <f t="shared" si="18"/>
        <v>31</v>
      </c>
      <c r="N290" s="69">
        <f>IFERROR(INDEX(Tabela3[ID_Responsavel], MATCH(O290,Tabela3[[Responsáveis ]], 0)), "Não encontrado")</f>
        <v>15</v>
      </c>
      <c r="O290" s="58" t="s">
        <v>154</v>
      </c>
      <c r="P290" s="59" t="s">
        <v>48</v>
      </c>
      <c r="Q290" s="60" t="s">
        <v>580</v>
      </c>
    </row>
    <row r="291" spans="1:17" ht="16.5" hidden="1">
      <c r="A291" s="117">
        <f>IFERROR(INDEX(Tabela2[ID_Area], MATCH(B291,Tabela2[Area], 0)), "Não encontrado")</f>
        <v>1003</v>
      </c>
      <c r="B291" s="47" t="s">
        <v>92</v>
      </c>
      <c r="C291" s="48" t="s">
        <v>259</v>
      </c>
      <c r="D291" s="62">
        <f>IFERROR(INDEX(Metas!$D$2:$D$104, MATCH(E291,Metas!$E$2:$E$104, 0)), "Não encontrado")</f>
        <v>189</v>
      </c>
      <c r="E291" s="82" t="s">
        <v>165</v>
      </c>
      <c r="F291" s="82" t="s">
        <v>581</v>
      </c>
      <c r="G291" s="62" t="str">
        <f t="shared" ca="1" si="17"/>
        <v>Concluído</v>
      </c>
      <c r="H291" s="99">
        <v>45698</v>
      </c>
      <c r="I291" s="73">
        <v>1</v>
      </c>
      <c r="J291" s="53">
        <f t="shared" si="16"/>
        <v>2.976</v>
      </c>
      <c r="K291" s="84">
        <v>45658</v>
      </c>
      <c r="L291" s="85">
        <v>45688</v>
      </c>
      <c r="M291" s="68">
        <f t="shared" si="18"/>
        <v>31</v>
      </c>
      <c r="N291" s="69">
        <f>IFERROR(INDEX(Tabela3[ID_Responsavel], MATCH(O291,Tabela3[[Responsáveis ]], 0)), "Não encontrado")</f>
        <v>8</v>
      </c>
      <c r="O291" s="58" t="s">
        <v>94</v>
      </c>
      <c r="P291" s="59" t="s">
        <v>19</v>
      </c>
      <c r="Q291" s="190" t="s">
        <v>582</v>
      </c>
    </row>
    <row r="292" spans="1:17" ht="16.5" hidden="1">
      <c r="A292" s="113">
        <f>IFERROR(INDEX(Tabela2[ID_Area], MATCH(B292,Tabela2[Area], 0)), "Não encontrado")</f>
        <v>1003</v>
      </c>
      <c r="B292" s="47" t="s">
        <v>92</v>
      </c>
      <c r="C292" s="48" t="s">
        <v>259</v>
      </c>
      <c r="D292" s="62">
        <f>IFERROR(INDEX(Metas!$D$2:$D$104, MATCH(E292,Metas!$E$2:$E$104, 0)), "Não encontrado")</f>
        <v>189</v>
      </c>
      <c r="E292" s="82" t="s">
        <v>165</v>
      </c>
      <c r="F292" s="82" t="s">
        <v>583</v>
      </c>
      <c r="G292" s="62" t="str">
        <f t="shared" ca="1" si="17"/>
        <v>Concluído</v>
      </c>
      <c r="H292" s="99">
        <v>45698</v>
      </c>
      <c r="I292" s="73">
        <v>1</v>
      </c>
      <c r="J292" s="53">
        <f t="shared" si="16"/>
        <v>2.976</v>
      </c>
      <c r="K292" s="84">
        <v>45658</v>
      </c>
      <c r="L292" s="85">
        <v>45688</v>
      </c>
      <c r="M292" s="68">
        <f t="shared" si="18"/>
        <v>31</v>
      </c>
      <c r="N292" s="69">
        <f>IFERROR(INDEX(Tabela3[ID_Responsavel], MATCH(O292,Tabela3[[Responsáveis ]], 0)), "Não encontrado")</f>
        <v>8</v>
      </c>
      <c r="O292" s="58" t="s">
        <v>94</v>
      </c>
      <c r="P292" s="59" t="s">
        <v>19</v>
      </c>
      <c r="Q292" s="60" t="s">
        <v>584</v>
      </c>
    </row>
    <row r="293" spans="1:17" ht="16.5" hidden="1">
      <c r="A293" s="117">
        <f>IFERROR(INDEX(Tabela2[ID_Area], MATCH(B293,Tabela2[Area], 0)), "Não encontrado")</f>
        <v>1003</v>
      </c>
      <c r="B293" s="47" t="s">
        <v>92</v>
      </c>
      <c r="C293" s="48" t="s">
        <v>259</v>
      </c>
      <c r="D293" s="62">
        <f>IFERROR(INDEX(Metas!$D$2:$D$104, MATCH(E293,Metas!$E$2:$E$104, 0)), "Não encontrado")</f>
        <v>189</v>
      </c>
      <c r="E293" s="82" t="s">
        <v>165</v>
      </c>
      <c r="F293" s="82" t="s">
        <v>585</v>
      </c>
      <c r="G293" s="62" t="str">
        <f t="shared" ca="1" si="17"/>
        <v>Concluído</v>
      </c>
      <c r="H293" s="101" t="s">
        <v>198</v>
      </c>
      <c r="I293" s="73">
        <v>1</v>
      </c>
      <c r="J293" s="53">
        <f t="shared" si="16"/>
        <v>35.04</v>
      </c>
      <c r="K293" s="84">
        <v>45658</v>
      </c>
      <c r="L293" s="85">
        <v>46022</v>
      </c>
      <c r="M293" s="68">
        <f t="shared" si="18"/>
        <v>365</v>
      </c>
      <c r="N293" s="69">
        <f>IFERROR(INDEX(Tabela3[ID_Responsavel], MATCH(O293,Tabela3[[Responsáveis ]], 0)), "Não encontrado")</f>
        <v>8</v>
      </c>
      <c r="O293" s="58" t="s">
        <v>94</v>
      </c>
      <c r="P293" s="59" t="s">
        <v>19</v>
      </c>
      <c r="Q293" s="60" t="s">
        <v>198</v>
      </c>
    </row>
    <row r="294" spans="1:17" ht="16.5" hidden="1">
      <c r="A294" s="113">
        <f>IFERROR(INDEX(Tabela2[ID_Area], MATCH(B294,Tabela2[Area], 0)), "Não encontrado")</f>
        <v>1003</v>
      </c>
      <c r="B294" s="47" t="s">
        <v>92</v>
      </c>
      <c r="C294" s="48" t="s">
        <v>259</v>
      </c>
      <c r="D294" s="62">
        <f>IFERROR(INDEX(Metas!$D$2:$D$104, MATCH(E294,Metas!$E$2:$E$104, 0)), "Não encontrado")</f>
        <v>189</v>
      </c>
      <c r="E294" s="82" t="s">
        <v>165</v>
      </c>
      <c r="F294" s="82" t="s">
        <v>586</v>
      </c>
      <c r="G294" s="62" t="str">
        <f t="shared" ca="1" si="17"/>
        <v>Concluído</v>
      </c>
      <c r="H294" s="101" t="s">
        <v>198</v>
      </c>
      <c r="I294" s="73">
        <v>1</v>
      </c>
      <c r="J294" s="53">
        <f t="shared" si="16"/>
        <v>35.04</v>
      </c>
      <c r="K294" s="84">
        <v>45658</v>
      </c>
      <c r="L294" s="85">
        <v>46022</v>
      </c>
      <c r="M294" s="68">
        <f t="shared" si="18"/>
        <v>365</v>
      </c>
      <c r="N294" s="69">
        <f>IFERROR(INDEX(Tabela3[ID_Responsavel], MATCH(O294,Tabela3[[Responsáveis ]], 0)), "Não encontrado")</f>
        <v>8</v>
      </c>
      <c r="O294" s="58" t="s">
        <v>94</v>
      </c>
      <c r="P294" s="59" t="s">
        <v>19</v>
      </c>
      <c r="Q294" s="60" t="s">
        <v>198</v>
      </c>
    </row>
    <row r="295" spans="1:17" ht="16.5" hidden="1">
      <c r="A295" s="117">
        <f>IFERROR(INDEX(Tabela2[ID_Area], MATCH(B295,Tabela2[Area], 0)), "Não encontrado")</f>
        <v>1003</v>
      </c>
      <c r="B295" s="47" t="s">
        <v>92</v>
      </c>
      <c r="C295" s="48" t="s">
        <v>259</v>
      </c>
      <c r="D295" s="62">
        <f>IFERROR(INDEX(Metas!$D$2:$D$104, MATCH(E295,Metas!$E$2:$E$104, 0)), "Não encontrado")</f>
        <v>189</v>
      </c>
      <c r="E295" s="82" t="s">
        <v>165</v>
      </c>
      <c r="F295" s="82" t="s">
        <v>587</v>
      </c>
      <c r="G295" s="62" t="str">
        <f t="shared" ca="1" si="17"/>
        <v>Concluído</v>
      </c>
      <c r="H295" s="101" t="s">
        <v>198</v>
      </c>
      <c r="I295" s="73">
        <v>1</v>
      </c>
      <c r="J295" s="53">
        <f t="shared" si="16"/>
        <v>35.04</v>
      </c>
      <c r="K295" s="84">
        <v>45658</v>
      </c>
      <c r="L295" s="85">
        <v>46022</v>
      </c>
      <c r="M295" s="68">
        <f t="shared" si="18"/>
        <v>365</v>
      </c>
      <c r="N295" s="69">
        <f>IFERROR(INDEX(Tabela3[ID_Responsavel], MATCH(O295,Tabela3[[Responsáveis ]], 0)), "Não encontrado")</f>
        <v>8</v>
      </c>
      <c r="O295" s="58" t="s">
        <v>94</v>
      </c>
      <c r="P295" s="59" t="s">
        <v>19</v>
      </c>
      <c r="Q295" s="60" t="s">
        <v>198</v>
      </c>
    </row>
    <row r="296" spans="1:17" ht="16.5" hidden="1">
      <c r="A296" s="113">
        <f>IFERROR(INDEX(Tabela2[ID_Area], MATCH(B296,Tabela2[Area], 0)), "Não encontrado")</f>
        <v>1003</v>
      </c>
      <c r="B296" s="47" t="s">
        <v>92</v>
      </c>
      <c r="C296" s="48" t="s">
        <v>259</v>
      </c>
      <c r="D296" s="62">
        <f>IFERROR(INDEX(Metas!$D$2:$D$104, MATCH(E296,Metas!$E$2:$E$104, 0)), "Não encontrado")</f>
        <v>189</v>
      </c>
      <c r="E296" s="82" t="s">
        <v>165</v>
      </c>
      <c r="F296" s="82" t="s">
        <v>588</v>
      </c>
      <c r="G296" s="62" t="str">
        <f t="shared" ca="1" si="17"/>
        <v>Concluído</v>
      </c>
      <c r="H296" s="101" t="s">
        <v>198</v>
      </c>
      <c r="I296" s="73">
        <v>1</v>
      </c>
      <c r="J296" s="53">
        <f t="shared" si="16"/>
        <v>2.976</v>
      </c>
      <c r="K296" s="84">
        <v>45992</v>
      </c>
      <c r="L296" s="85">
        <v>46022</v>
      </c>
      <c r="M296" s="68">
        <f t="shared" si="18"/>
        <v>31</v>
      </c>
      <c r="N296" s="69">
        <f>IFERROR(INDEX(Tabela3[ID_Responsavel], MATCH(O296,Tabela3[[Responsáveis ]], 0)), "Não encontrado")</f>
        <v>8</v>
      </c>
      <c r="O296" s="58" t="s">
        <v>94</v>
      </c>
      <c r="P296" s="59" t="s">
        <v>19</v>
      </c>
      <c r="Q296" s="60" t="s">
        <v>589</v>
      </c>
    </row>
    <row r="297" spans="1:17" ht="16.5" hidden="1">
      <c r="A297" s="117">
        <f>IFERROR(INDEX(Tabela2[ID_Area], MATCH(B297,Tabela2[Area], 0)), "Não encontrado")</f>
        <v>1003</v>
      </c>
      <c r="B297" s="47" t="s">
        <v>92</v>
      </c>
      <c r="C297" s="48" t="s">
        <v>259</v>
      </c>
      <c r="D297" s="62">
        <f>IFERROR(INDEX(Metas!$D$2:$D$104, MATCH(E297,Metas!$E$2:$E$104, 0)), "Não encontrado")</f>
        <v>189</v>
      </c>
      <c r="E297" s="82" t="s">
        <v>165</v>
      </c>
      <c r="F297" s="82" t="s">
        <v>590</v>
      </c>
      <c r="G297" s="62" t="str">
        <f t="shared" ca="1" si="17"/>
        <v>Concluído</v>
      </c>
      <c r="H297" s="101" t="s">
        <v>198</v>
      </c>
      <c r="I297" s="73">
        <v>1</v>
      </c>
      <c r="J297" s="53">
        <f t="shared" si="16"/>
        <v>2.976</v>
      </c>
      <c r="K297" s="84">
        <v>45992</v>
      </c>
      <c r="L297" s="85">
        <v>46022</v>
      </c>
      <c r="M297" s="68">
        <f t="shared" si="18"/>
        <v>31</v>
      </c>
      <c r="N297" s="69">
        <f>IFERROR(INDEX(Tabela3[ID_Responsavel], MATCH(O297,Tabela3[[Responsáveis ]], 0)), "Não encontrado")</f>
        <v>8</v>
      </c>
      <c r="O297" s="58" t="s">
        <v>94</v>
      </c>
      <c r="P297" s="59" t="s">
        <v>19</v>
      </c>
      <c r="Q297" s="60" t="s">
        <v>198</v>
      </c>
    </row>
    <row r="298" spans="1:17" ht="16.5" hidden="1">
      <c r="A298" s="113">
        <f>IFERROR(INDEX(Tabela2[ID_Area], MATCH(B298,Tabela2[Area], 0)), "Não encontrado")</f>
        <v>1003</v>
      </c>
      <c r="B298" s="47" t="s">
        <v>92</v>
      </c>
      <c r="C298" s="48" t="s">
        <v>259</v>
      </c>
      <c r="D298" s="62">
        <f>IFERROR(INDEX(Metas!$D$2:$D$104, MATCH(E298,Metas!$E$2:$E$104, 0)), "Não encontrado")</f>
        <v>189</v>
      </c>
      <c r="E298" s="82" t="s">
        <v>165</v>
      </c>
      <c r="F298" s="82" t="s">
        <v>591</v>
      </c>
      <c r="G298" s="62" t="str">
        <f t="shared" ca="1" si="17"/>
        <v>Concluído</v>
      </c>
      <c r="H298" s="101" t="s">
        <v>198</v>
      </c>
      <c r="I298" s="73">
        <v>1</v>
      </c>
      <c r="J298" s="53">
        <f t="shared" si="16"/>
        <v>2.976</v>
      </c>
      <c r="K298" s="84">
        <v>45992</v>
      </c>
      <c r="L298" s="85">
        <v>46022</v>
      </c>
      <c r="M298" s="68">
        <f t="shared" si="18"/>
        <v>31</v>
      </c>
      <c r="N298" s="69">
        <f>IFERROR(INDEX(Tabela3[ID_Responsavel], MATCH(O298,Tabela3[[Responsáveis ]], 0)), "Não encontrado")</f>
        <v>8</v>
      </c>
      <c r="O298" s="58" t="s">
        <v>94</v>
      </c>
      <c r="P298" s="59" t="s">
        <v>19</v>
      </c>
      <c r="Q298" s="60" t="s">
        <v>198</v>
      </c>
    </row>
    <row r="299" spans="1:17" ht="16.5" hidden="1">
      <c r="A299" s="117">
        <f>IFERROR(INDEX(Tabela2[ID_Area], MATCH(B299,Tabela2[Area], 0)), "Não encontrado")</f>
        <v>1003</v>
      </c>
      <c r="B299" s="47" t="s">
        <v>92</v>
      </c>
      <c r="C299" s="48" t="s">
        <v>259</v>
      </c>
      <c r="D299" s="62">
        <f>IFERROR(INDEX(Metas!$D$2:$D$104, MATCH(E299,Metas!$E$2:$E$104, 0)), "Não encontrado")</f>
        <v>181</v>
      </c>
      <c r="E299" s="82" t="s">
        <v>156</v>
      </c>
      <c r="F299" s="82" t="s">
        <v>592</v>
      </c>
      <c r="G299" s="62" t="str">
        <f t="shared" ca="1" si="17"/>
        <v>Concluído</v>
      </c>
      <c r="H299" s="99">
        <v>46008</v>
      </c>
      <c r="I299" s="73">
        <v>1</v>
      </c>
      <c r="J299" s="53">
        <f t="shared" si="16"/>
        <v>38.864241348713399</v>
      </c>
      <c r="K299" s="84">
        <v>45658</v>
      </c>
      <c r="L299" s="85">
        <v>46022</v>
      </c>
      <c r="M299" s="68">
        <f t="shared" si="18"/>
        <v>365</v>
      </c>
      <c r="N299" s="69">
        <f>IFERROR(INDEX(Tabela3[ID_Responsavel], MATCH(O299,Tabela3[[Responsáveis ]], 0)), "Não encontrado")</f>
        <v>15</v>
      </c>
      <c r="O299" s="58" t="s">
        <v>154</v>
      </c>
      <c r="P299" s="59" t="s">
        <v>48</v>
      </c>
      <c r="Q299" s="60" t="s">
        <v>593</v>
      </c>
    </row>
    <row r="300" spans="1:17" ht="16.5" hidden="1">
      <c r="A300" s="113">
        <f>IFERROR(INDEX(Tabela2[ID_Area], MATCH(B300,Tabela2[Area], 0)), "Não encontrado")</f>
        <v>1003</v>
      </c>
      <c r="B300" s="47" t="s">
        <v>92</v>
      </c>
      <c r="C300" s="48" t="s">
        <v>259</v>
      </c>
      <c r="D300" s="62">
        <f>IFERROR(INDEX(Metas!$D$2:$D$104, MATCH(E300,Metas!$E$2:$E$104, 0)), "Não encontrado")</f>
        <v>181</v>
      </c>
      <c r="E300" s="82" t="s">
        <v>156</v>
      </c>
      <c r="F300" s="82" t="s">
        <v>594</v>
      </c>
      <c r="G300" s="62" t="str">
        <f t="shared" ca="1" si="17"/>
        <v>Concluído</v>
      </c>
      <c r="H300" s="99">
        <v>46008</v>
      </c>
      <c r="I300" s="73">
        <v>1</v>
      </c>
      <c r="J300" s="53">
        <f t="shared" si="16"/>
        <v>38.864241348713399</v>
      </c>
      <c r="K300" s="84">
        <v>45658</v>
      </c>
      <c r="L300" s="85">
        <v>46022</v>
      </c>
      <c r="M300" s="68">
        <f t="shared" si="18"/>
        <v>365</v>
      </c>
      <c r="N300" s="69">
        <f>IFERROR(INDEX(Tabela3[ID_Responsavel], MATCH(O300,Tabela3[[Responsáveis ]], 0)), "Não encontrado")</f>
        <v>15</v>
      </c>
      <c r="O300" s="58" t="s">
        <v>154</v>
      </c>
      <c r="P300" s="59" t="s">
        <v>48</v>
      </c>
      <c r="Q300" s="60" t="s">
        <v>595</v>
      </c>
    </row>
    <row r="301" spans="1:17" ht="16.5" hidden="1">
      <c r="A301" s="117">
        <f>IFERROR(INDEX(Tabela2[ID_Area], MATCH(B301,Tabela2[Area], 0)), "Não encontrado")</f>
        <v>1003</v>
      </c>
      <c r="B301" s="47" t="s">
        <v>92</v>
      </c>
      <c r="C301" s="48" t="s">
        <v>259</v>
      </c>
      <c r="D301" s="62">
        <f>IFERROR(INDEX(Metas!$D$2:$D$104, MATCH(E301,Metas!$E$2:$E$104, 0)), "Não encontrado")</f>
        <v>181</v>
      </c>
      <c r="E301" s="82" t="s">
        <v>156</v>
      </c>
      <c r="F301" s="82" t="s">
        <v>596</v>
      </c>
      <c r="G301" s="62" t="str">
        <f t="shared" ca="1" si="17"/>
        <v>Concluído</v>
      </c>
      <c r="H301" s="99">
        <v>45797</v>
      </c>
      <c r="I301" s="73">
        <v>1</v>
      </c>
      <c r="J301" s="53">
        <f t="shared" si="16"/>
        <v>3.3007985803016862</v>
      </c>
      <c r="K301" s="84">
        <v>45992</v>
      </c>
      <c r="L301" s="85">
        <v>46022</v>
      </c>
      <c r="M301" s="68">
        <f t="shared" si="18"/>
        <v>31</v>
      </c>
      <c r="N301" s="69">
        <f>IFERROR(INDEX(Tabela3[ID_Responsavel], MATCH(O301,Tabela3[[Responsáveis ]], 0)), "Não encontrado")</f>
        <v>15</v>
      </c>
      <c r="O301" s="58" t="s">
        <v>154</v>
      </c>
      <c r="P301" s="59" t="s">
        <v>48</v>
      </c>
      <c r="Q301" s="60" t="s">
        <v>597</v>
      </c>
    </row>
    <row r="302" spans="1:17" ht="16.5" hidden="1">
      <c r="A302" s="113">
        <f>IFERROR(INDEX(Tabela2[ID_Area], MATCH(B302,Tabela2[Area], 0)), "Não encontrado")</f>
        <v>1003</v>
      </c>
      <c r="B302" s="47" t="s">
        <v>92</v>
      </c>
      <c r="C302" s="48" t="s">
        <v>259</v>
      </c>
      <c r="D302" s="62">
        <f>IFERROR(INDEX(Metas!$D$2:$D$104, MATCH(E302,Metas!$E$2:$E$104, 0)), "Não encontrado")</f>
        <v>181</v>
      </c>
      <c r="E302" s="82" t="s">
        <v>156</v>
      </c>
      <c r="F302" s="82" t="s">
        <v>598</v>
      </c>
      <c r="G302" s="62" t="str">
        <f t="shared" ca="1" si="17"/>
        <v>Concluído</v>
      </c>
      <c r="H302" s="99">
        <v>45838</v>
      </c>
      <c r="I302" s="73">
        <v>1</v>
      </c>
      <c r="J302" s="53">
        <f t="shared" si="16"/>
        <v>19.272404614019521</v>
      </c>
      <c r="K302" s="84">
        <v>45658</v>
      </c>
      <c r="L302" s="85">
        <v>45838</v>
      </c>
      <c r="M302" s="68">
        <f t="shared" si="18"/>
        <v>181</v>
      </c>
      <c r="N302" s="69">
        <f>IFERROR(INDEX(Tabela3[ID_Responsavel], MATCH(O302,Tabela3[[Responsáveis ]], 0)), "Não encontrado")</f>
        <v>15</v>
      </c>
      <c r="O302" s="58" t="s">
        <v>154</v>
      </c>
      <c r="P302" s="59" t="s">
        <v>48</v>
      </c>
      <c r="Q302" s="60" t="s">
        <v>599</v>
      </c>
    </row>
    <row r="303" spans="1:17" ht="16.5" hidden="1">
      <c r="A303" s="117">
        <f>IFERROR(INDEX(Tabela2[ID_Area], MATCH(B303,Tabela2[Area], 0)), "Não encontrado")</f>
        <v>1003</v>
      </c>
      <c r="B303" s="47" t="s">
        <v>92</v>
      </c>
      <c r="C303" s="48" t="s">
        <v>259</v>
      </c>
      <c r="D303" s="62">
        <f>IFERROR(INDEX(Metas!$D$2:$D$104, MATCH(E303,Metas!$E$2:$E$104, 0)), "Não encontrado")</f>
        <v>181</v>
      </c>
      <c r="E303" s="82" t="s">
        <v>156</v>
      </c>
      <c r="F303" s="82" t="s">
        <v>600</v>
      </c>
      <c r="G303" s="62" t="str">
        <f t="shared" ca="1" si="17"/>
        <v>Concluído</v>
      </c>
      <c r="H303" s="99">
        <v>46007</v>
      </c>
      <c r="I303" s="73">
        <v>1</v>
      </c>
      <c r="J303" s="53">
        <f t="shared" si="16"/>
        <v>19.698314108251999</v>
      </c>
      <c r="K303" s="84">
        <v>45838</v>
      </c>
      <c r="L303" s="85">
        <v>46022</v>
      </c>
      <c r="M303" s="68">
        <f t="shared" si="18"/>
        <v>185</v>
      </c>
      <c r="N303" s="69">
        <f>IFERROR(INDEX(Tabela3[ID_Responsavel], MATCH(O303,Tabela3[[Responsáveis ]], 0)), "Não encontrado")</f>
        <v>15</v>
      </c>
      <c r="O303" s="58" t="s">
        <v>154</v>
      </c>
      <c r="P303" s="59" t="s">
        <v>48</v>
      </c>
      <c r="Q303" s="60" t="s">
        <v>601</v>
      </c>
    </row>
    <row r="304" spans="1:17" ht="30.75" hidden="1">
      <c r="A304" s="113">
        <f>IFERROR(INDEX(Tabela2[ID_Area], MATCH(B304,Tabela2[Area], 0)), "Não encontrado")</f>
        <v>1003</v>
      </c>
      <c r="B304" s="47" t="s">
        <v>92</v>
      </c>
      <c r="C304" s="48" t="s">
        <v>516</v>
      </c>
      <c r="D304" s="62">
        <f>IFERROR(INDEX(Metas!$D$2:$D$104, MATCH(E304,Metas!$E$2:$E$104, 0)), "Não encontrado")</f>
        <v>178</v>
      </c>
      <c r="E304" s="82" t="s">
        <v>152</v>
      </c>
      <c r="F304" s="82" t="s">
        <v>602</v>
      </c>
      <c r="G304" s="62" t="str">
        <f t="shared" ca="1" si="17"/>
        <v>Concluído</v>
      </c>
      <c r="H304" s="99">
        <v>45792</v>
      </c>
      <c r="I304" s="65">
        <v>1</v>
      </c>
      <c r="J304" s="53">
        <f t="shared" si="16"/>
        <v>39.191489361702125</v>
      </c>
      <c r="K304" s="84">
        <v>45716</v>
      </c>
      <c r="L304" s="67">
        <v>46022</v>
      </c>
      <c r="M304" s="68">
        <f t="shared" si="18"/>
        <v>307</v>
      </c>
      <c r="N304" s="69">
        <f>IFERROR(INDEX(Tabela3[ID_Responsavel], MATCH(O304,Tabela3[[Responsáveis ]], 0)), "Não encontrado")</f>
        <v>11</v>
      </c>
      <c r="O304" s="58" t="s">
        <v>149</v>
      </c>
      <c r="P304" s="59" t="s">
        <v>48</v>
      </c>
      <c r="Q304" s="60" t="s">
        <v>603</v>
      </c>
    </row>
    <row r="305" spans="1:17" ht="30.75" hidden="1">
      <c r="A305" s="117">
        <f>IFERROR(INDEX(Tabela2[ID_Area], MATCH(B305,Tabela2[Area], 0)), "Não encontrado")</f>
        <v>1003</v>
      </c>
      <c r="B305" s="47" t="s">
        <v>92</v>
      </c>
      <c r="C305" s="48" t="s">
        <v>516</v>
      </c>
      <c r="D305" s="62">
        <f>IFERROR(INDEX(Metas!$D$2:$D$104, MATCH(E305,Metas!$E$2:$E$104, 0)), "Não encontrado")</f>
        <v>178</v>
      </c>
      <c r="E305" s="82" t="s">
        <v>152</v>
      </c>
      <c r="F305" s="82" t="s">
        <v>604</v>
      </c>
      <c r="G305" s="62" t="str">
        <f t="shared" ca="1" si="17"/>
        <v>Atrasado</v>
      </c>
      <c r="H305" s="99">
        <v>46008</v>
      </c>
      <c r="I305" s="65">
        <v>0</v>
      </c>
      <c r="J305" s="53">
        <f t="shared" si="16"/>
        <v>38.425531914893618</v>
      </c>
      <c r="K305" s="84">
        <v>45722</v>
      </c>
      <c r="L305" s="67">
        <v>46022</v>
      </c>
      <c r="M305" s="68">
        <f t="shared" si="18"/>
        <v>301</v>
      </c>
      <c r="N305" s="69">
        <f>IFERROR(INDEX(Tabela3[ID_Responsavel], MATCH(O305,Tabela3[[Responsáveis ]], 0)), "Não encontrado")</f>
        <v>11</v>
      </c>
      <c r="O305" s="58" t="s">
        <v>149</v>
      </c>
      <c r="P305" s="59" t="s">
        <v>48</v>
      </c>
      <c r="Q305" s="60" t="s">
        <v>605</v>
      </c>
    </row>
    <row r="306" spans="1:17" ht="30.75" hidden="1">
      <c r="A306" s="113">
        <f>IFERROR(INDEX(Tabela2[ID_Area], MATCH(B306,Tabela2[Area], 0)), "Não encontrado")</f>
        <v>1003</v>
      </c>
      <c r="B306" s="47" t="s">
        <v>92</v>
      </c>
      <c r="C306" s="48" t="s">
        <v>516</v>
      </c>
      <c r="D306" s="62">
        <f>IFERROR(INDEX(Metas!$D$2:$D$104, MATCH(E306,Metas!$E$2:$E$104, 0)), "Não encontrado")</f>
        <v>178</v>
      </c>
      <c r="E306" s="82" t="s">
        <v>152</v>
      </c>
      <c r="F306" s="82" t="s">
        <v>606</v>
      </c>
      <c r="G306" s="62" t="str">
        <f t="shared" ca="1" si="17"/>
        <v>Atrasado</v>
      </c>
      <c r="H306" s="99">
        <v>46008</v>
      </c>
      <c r="I306" s="65">
        <v>0</v>
      </c>
      <c r="J306" s="53">
        <f t="shared" si="16"/>
        <v>22.851063829787233</v>
      </c>
      <c r="K306" s="84">
        <v>45844</v>
      </c>
      <c r="L306" s="67">
        <v>46022</v>
      </c>
      <c r="M306" s="68">
        <f t="shared" si="18"/>
        <v>179</v>
      </c>
      <c r="N306" s="69">
        <f>IFERROR(INDEX(Tabela3[ID_Responsavel], MATCH(O306,Tabela3[[Responsáveis ]], 0)), "Não encontrado")</f>
        <v>11</v>
      </c>
      <c r="O306" s="58" t="s">
        <v>149</v>
      </c>
      <c r="P306" s="59" t="s">
        <v>48</v>
      </c>
      <c r="Q306" s="60" t="s">
        <v>605</v>
      </c>
    </row>
    <row r="307" spans="1:17" ht="30.75" hidden="1">
      <c r="A307" s="117">
        <f>IFERROR(INDEX(Tabela2[ID_Area], MATCH(B307,Tabela2[Area], 0)), "Não encontrado")</f>
        <v>1003</v>
      </c>
      <c r="B307" s="47" t="s">
        <v>92</v>
      </c>
      <c r="C307" s="48" t="s">
        <v>516</v>
      </c>
      <c r="D307" s="62">
        <f>IFERROR(INDEX(Metas!$D$2:$D$104, MATCH(E307,Metas!$E$2:$E$104, 0)), "Não encontrado")</f>
        <v>178</v>
      </c>
      <c r="E307" s="82" t="s">
        <v>152</v>
      </c>
      <c r="F307" s="82" t="s">
        <v>607</v>
      </c>
      <c r="G307" s="62" t="str">
        <f t="shared" ca="1" si="17"/>
        <v>Atrasado</v>
      </c>
      <c r="H307" s="99">
        <v>46008</v>
      </c>
      <c r="I307" s="65">
        <v>0</v>
      </c>
      <c r="J307" s="53">
        <f t="shared" si="16"/>
        <v>19.531914893617024</v>
      </c>
      <c r="K307" s="84">
        <v>45870</v>
      </c>
      <c r="L307" s="67">
        <v>46022</v>
      </c>
      <c r="M307" s="68">
        <f t="shared" si="18"/>
        <v>153</v>
      </c>
      <c r="N307" s="69">
        <f>IFERROR(INDEX(Tabela3[ID_Responsavel], MATCH(O307,Tabela3[[Responsáveis ]], 0)), "Não encontrado")</f>
        <v>11</v>
      </c>
      <c r="O307" s="58" t="s">
        <v>149</v>
      </c>
      <c r="P307" s="59" t="s">
        <v>48</v>
      </c>
      <c r="Q307" s="60" t="s">
        <v>605</v>
      </c>
    </row>
    <row r="308" spans="1:17" ht="30.75" hidden="1">
      <c r="A308" s="113">
        <f>IFERROR(INDEX(Tabela2[ID_Area], MATCH(B308,Tabela2[Area], 0)), "Não encontrado")</f>
        <v>1003</v>
      </c>
      <c r="B308" s="47" t="s">
        <v>92</v>
      </c>
      <c r="C308" s="48" t="s">
        <v>128</v>
      </c>
      <c r="D308" s="62">
        <f>IFERROR(INDEX(Metas!$D$2:$D$104, MATCH(E308,Metas!$E$2:$E$104, 0)), "Não encontrado")</f>
        <v>183</v>
      </c>
      <c r="E308" s="63" t="s">
        <v>159</v>
      </c>
      <c r="F308" s="63" t="s">
        <v>608</v>
      </c>
      <c r="G308" s="62" t="str">
        <f t="shared" ca="1" si="17"/>
        <v>Concluído</v>
      </c>
      <c r="H308" s="64">
        <v>45672</v>
      </c>
      <c r="I308" s="73">
        <v>1</v>
      </c>
      <c r="J308" s="53">
        <f t="shared" si="16"/>
        <v>12.5</v>
      </c>
      <c r="K308" s="66">
        <v>45658</v>
      </c>
      <c r="L308" s="67">
        <v>45672</v>
      </c>
      <c r="M308" s="68">
        <f t="shared" si="18"/>
        <v>15</v>
      </c>
      <c r="N308" s="69">
        <f>IFERROR(INDEX(Tabela3[ID_Responsavel], MATCH(O308,Tabela3[[Responsáveis ]], 0)), "Não encontrado")</f>
        <v>16</v>
      </c>
      <c r="O308" s="58" t="s">
        <v>158</v>
      </c>
      <c r="P308" s="102" t="s">
        <v>281</v>
      </c>
      <c r="Q308" s="100" t="s">
        <v>304</v>
      </c>
    </row>
    <row r="309" spans="1:17" ht="30.75" hidden="1">
      <c r="A309" s="117">
        <f>IFERROR(INDEX(Tabela2[ID_Area], MATCH(B309,Tabela2[Area], 0)), "Não encontrado")</f>
        <v>1003</v>
      </c>
      <c r="B309" s="47" t="s">
        <v>92</v>
      </c>
      <c r="C309" s="48" t="s">
        <v>128</v>
      </c>
      <c r="D309" s="62">
        <f>IFERROR(INDEX(Metas!$D$2:$D$104, MATCH(E309,Metas!$E$2:$E$104, 0)), "Não encontrado")</f>
        <v>183</v>
      </c>
      <c r="E309" s="63" t="s">
        <v>159</v>
      </c>
      <c r="F309" s="63" t="s">
        <v>609</v>
      </c>
      <c r="G309" s="62" t="str">
        <f t="shared" ca="1" si="17"/>
        <v>Concluído</v>
      </c>
      <c r="H309" s="64">
        <v>45682</v>
      </c>
      <c r="I309" s="73">
        <v>1</v>
      </c>
      <c r="J309" s="53">
        <f t="shared" si="16"/>
        <v>20.833333333333332</v>
      </c>
      <c r="K309" s="66">
        <v>45658</v>
      </c>
      <c r="L309" s="67">
        <v>45682</v>
      </c>
      <c r="M309" s="68">
        <f t="shared" si="18"/>
        <v>25</v>
      </c>
      <c r="N309" s="69">
        <f>IFERROR(INDEX(Tabela3[ID_Responsavel], MATCH(O309,Tabela3[[Responsáveis ]], 0)), "Não encontrado")</f>
        <v>16</v>
      </c>
      <c r="O309" s="58" t="s">
        <v>158</v>
      </c>
      <c r="P309" s="102" t="s">
        <v>281</v>
      </c>
      <c r="Q309" s="100" t="s">
        <v>610</v>
      </c>
    </row>
    <row r="310" spans="1:17" ht="30.75" hidden="1">
      <c r="A310" s="113">
        <f>IFERROR(INDEX(Tabela2[ID_Area], MATCH(B310,Tabela2[Area], 0)), "Não encontrado")</f>
        <v>1003</v>
      </c>
      <c r="B310" s="47" t="s">
        <v>92</v>
      </c>
      <c r="C310" s="48" t="s">
        <v>128</v>
      </c>
      <c r="D310" s="62">
        <f>IFERROR(INDEX(Metas!$D$2:$D$104, MATCH(E310,Metas!$E$2:$E$104, 0)), "Não encontrado")</f>
        <v>183</v>
      </c>
      <c r="E310" s="63" t="s">
        <v>159</v>
      </c>
      <c r="F310" s="63" t="s">
        <v>611</v>
      </c>
      <c r="G310" s="62" t="str">
        <f t="shared" ca="1" si="17"/>
        <v>Concluído</v>
      </c>
      <c r="H310" s="64">
        <v>45685</v>
      </c>
      <c r="I310" s="73">
        <v>1</v>
      </c>
      <c r="J310" s="53">
        <f t="shared" si="16"/>
        <v>12.5</v>
      </c>
      <c r="K310" s="66">
        <v>45673</v>
      </c>
      <c r="L310" s="67">
        <v>45687</v>
      </c>
      <c r="M310" s="68">
        <f t="shared" si="18"/>
        <v>15</v>
      </c>
      <c r="N310" s="69">
        <f>IFERROR(INDEX(Tabela3[ID_Responsavel], MATCH(O310,Tabela3[[Responsáveis ]], 0)), "Não encontrado")</f>
        <v>16</v>
      </c>
      <c r="O310" s="58" t="s">
        <v>158</v>
      </c>
      <c r="P310" s="102" t="s">
        <v>281</v>
      </c>
      <c r="Q310" s="100" t="s">
        <v>612</v>
      </c>
    </row>
    <row r="311" spans="1:17" ht="30.75" hidden="1">
      <c r="A311" s="117">
        <f>IFERROR(INDEX(Tabela2[ID_Area], MATCH(B311,Tabela2[Area], 0)), "Não encontrado")</f>
        <v>1003</v>
      </c>
      <c r="B311" s="47" t="s">
        <v>92</v>
      </c>
      <c r="C311" s="48" t="s">
        <v>128</v>
      </c>
      <c r="D311" s="62">
        <f>IFERROR(INDEX(Metas!$D$2:$D$104, MATCH(E311,Metas!$E$2:$E$104, 0)), "Não encontrado")</f>
        <v>183</v>
      </c>
      <c r="E311" s="63" t="s">
        <v>159</v>
      </c>
      <c r="F311" s="63" t="s">
        <v>613</v>
      </c>
      <c r="G311" s="62" t="str">
        <f t="shared" ca="1" si="17"/>
        <v>Concluído</v>
      </c>
      <c r="H311" s="64">
        <v>45744</v>
      </c>
      <c r="I311" s="73">
        <v>1</v>
      </c>
      <c r="J311" s="53">
        <f t="shared" si="16"/>
        <v>49.166666666666664</v>
      </c>
      <c r="K311" s="66">
        <v>45689</v>
      </c>
      <c r="L311" s="67">
        <v>45747</v>
      </c>
      <c r="M311" s="68">
        <f t="shared" si="18"/>
        <v>59</v>
      </c>
      <c r="N311" s="69">
        <f>IFERROR(INDEX(Tabela3[ID_Responsavel], MATCH(O311,Tabela3[[Responsáveis ]], 0)), "Não encontrado")</f>
        <v>16</v>
      </c>
      <c r="O311" s="58" t="s">
        <v>158</v>
      </c>
      <c r="P311" s="102" t="s">
        <v>281</v>
      </c>
      <c r="Q311" s="100" t="s">
        <v>614</v>
      </c>
    </row>
    <row r="312" spans="1:17" ht="30.75" hidden="1">
      <c r="A312" s="113">
        <f>IFERROR(INDEX(Tabela2[ID_Area], MATCH(B312,Tabela2[Area], 0)), "Não encontrado")</f>
        <v>1003</v>
      </c>
      <c r="B312" s="47" t="s">
        <v>92</v>
      </c>
      <c r="C312" s="48" t="s">
        <v>128</v>
      </c>
      <c r="D312" s="62">
        <f>IFERROR(INDEX(Metas!$D$2:$D$104, MATCH(E312,Metas!$E$2:$E$104, 0)), "Não encontrado")</f>
        <v>183</v>
      </c>
      <c r="E312" s="63" t="s">
        <v>159</v>
      </c>
      <c r="F312" s="63" t="s">
        <v>615</v>
      </c>
      <c r="G312" s="62" t="str">
        <f t="shared" ca="1" si="17"/>
        <v>Concluído</v>
      </c>
      <c r="H312" s="64">
        <v>45767</v>
      </c>
      <c r="I312" s="73">
        <v>1</v>
      </c>
      <c r="J312" s="53">
        <f t="shared" si="16"/>
        <v>25</v>
      </c>
      <c r="K312" s="66">
        <v>45748</v>
      </c>
      <c r="L312" s="67">
        <v>45777</v>
      </c>
      <c r="M312" s="68">
        <f t="shared" si="18"/>
        <v>30</v>
      </c>
      <c r="N312" s="69">
        <f>IFERROR(INDEX(Tabela3[ID_Responsavel], MATCH(O312,Tabela3[[Responsáveis ]], 0)), "Não encontrado")</f>
        <v>16</v>
      </c>
      <c r="O312" s="58" t="s">
        <v>158</v>
      </c>
      <c r="P312" s="102" t="s">
        <v>281</v>
      </c>
      <c r="Q312" s="100" t="s">
        <v>533</v>
      </c>
    </row>
    <row r="313" spans="1:17" ht="30.75" hidden="1">
      <c r="A313" s="117">
        <f>IFERROR(INDEX(Tabela2[ID_Area], MATCH(B313,Tabela2[Area], 0)), "Não encontrado")</f>
        <v>1003</v>
      </c>
      <c r="B313" s="47" t="s">
        <v>92</v>
      </c>
      <c r="C313" s="48" t="s">
        <v>259</v>
      </c>
      <c r="D313" s="62">
        <f>IFERROR(INDEX(Metas!$D$2:$D$104, MATCH(E313,Metas!$E$2:$E$104, 0)), "Não encontrado")</f>
        <v>184</v>
      </c>
      <c r="E313" s="63" t="s">
        <v>160</v>
      </c>
      <c r="F313" s="63" t="s">
        <v>616</v>
      </c>
      <c r="G313" s="62" t="str">
        <f t="shared" ca="1" si="17"/>
        <v>Concluído</v>
      </c>
      <c r="H313" s="64">
        <v>45672</v>
      </c>
      <c r="I313" s="73">
        <v>1</v>
      </c>
      <c r="J313" s="53">
        <f t="shared" si="16"/>
        <v>12</v>
      </c>
      <c r="K313" s="66">
        <v>45658</v>
      </c>
      <c r="L313" s="67">
        <v>45672</v>
      </c>
      <c r="M313" s="68">
        <f t="shared" si="18"/>
        <v>15</v>
      </c>
      <c r="N313" s="69">
        <f>IFERROR(INDEX(Tabela3[ID_Responsavel], MATCH(O313,Tabela3[[Responsáveis ]], 0)), "Não encontrado")</f>
        <v>16</v>
      </c>
      <c r="O313" s="58" t="s">
        <v>158</v>
      </c>
      <c r="P313" s="102" t="s">
        <v>281</v>
      </c>
      <c r="Q313" s="100" t="s">
        <v>617</v>
      </c>
    </row>
    <row r="314" spans="1:17" ht="30.75" hidden="1">
      <c r="A314" s="113">
        <f>IFERROR(INDEX(Tabela2[ID_Area], MATCH(B314,Tabela2[Area], 0)), "Não encontrado")</f>
        <v>1003</v>
      </c>
      <c r="B314" s="47" t="s">
        <v>92</v>
      </c>
      <c r="C314" s="48" t="s">
        <v>259</v>
      </c>
      <c r="D314" s="62">
        <f>IFERROR(INDEX(Metas!$D$2:$D$104, MATCH(E314,Metas!$E$2:$E$104, 0)), "Não encontrado")</f>
        <v>184</v>
      </c>
      <c r="E314" s="63" t="s">
        <v>160</v>
      </c>
      <c r="F314" s="63" t="s">
        <v>618</v>
      </c>
      <c r="G314" s="62" t="str">
        <f t="shared" ca="1" si="17"/>
        <v>Concluído</v>
      </c>
      <c r="H314" s="64">
        <v>45687</v>
      </c>
      <c r="I314" s="73">
        <v>1</v>
      </c>
      <c r="J314" s="53">
        <f t="shared" si="16"/>
        <v>12.8</v>
      </c>
      <c r="K314" s="66">
        <v>45673</v>
      </c>
      <c r="L314" s="67">
        <v>45688</v>
      </c>
      <c r="M314" s="68">
        <f t="shared" si="18"/>
        <v>16</v>
      </c>
      <c r="N314" s="69">
        <f>IFERROR(INDEX(Tabela3[ID_Responsavel], MATCH(O314,Tabela3[[Responsáveis ]], 0)), "Não encontrado")</f>
        <v>16</v>
      </c>
      <c r="O314" s="58" t="s">
        <v>158</v>
      </c>
      <c r="P314" s="102" t="s">
        <v>281</v>
      </c>
      <c r="Q314" s="100" t="s">
        <v>617</v>
      </c>
    </row>
    <row r="315" spans="1:17" ht="30.75" hidden="1">
      <c r="A315" s="117">
        <f>IFERROR(INDEX(Tabela2[ID_Area], MATCH(B315,Tabela2[Area], 0)), "Não encontrado")</f>
        <v>1003</v>
      </c>
      <c r="B315" s="47" t="s">
        <v>92</v>
      </c>
      <c r="C315" s="48" t="s">
        <v>259</v>
      </c>
      <c r="D315" s="62">
        <f>IFERROR(INDEX(Metas!$D$2:$D$104, MATCH(E315,Metas!$E$2:$E$104, 0)), "Não encontrado")</f>
        <v>184</v>
      </c>
      <c r="E315" s="63" t="s">
        <v>160</v>
      </c>
      <c r="F315" s="63" t="s">
        <v>619</v>
      </c>
      <c r="G315" s="62" t="str">
        <f t="shared" ca="1" si="17"/>
        <v>Concluído</v>
      </c>
      <c r="H315" s="64">
        <v>45791</v>
      </c>
      <c r="I315" s="73">
        <v>1</v>
      </c>
      <c r="J315" s="53">
        <f t="shared" si="16"/>
        <v>71.2</v>
      </c>
      <c r="K315" s="66">
        <v>45689</v>
      </c>
      <c r="L315" s="67">
        <v>45777</v>
      </c>
      <c r="M315" s="68">
        <f t="shared" si="18"/>
        <v>89</v>
      </c>
      <c r="N315" s="69">
        <f>IFERROR(INDEX(Tabela3[ID_Responsavel], MATCH(O315,Tabela3[[Responsáveis ]], 0)), "Não encontrado")</f>
        <v>16</v>
      </c>
      <c r="O315" s="58" t="s">
        <v>158</v>
      </c>
      <c r="P315" s="102" t="s">
        <v>281</v>
      </c>
      <c r="Q315" s="100" t="s">
        <v>620</v>
      </c>
    </row>
    <row r="316" spans="1:17" ht="30.75" hidden="1">
      <c r="A316" s="113">
        <f>IFERROR(INDEX(Tabela2[ID_Area], MATCH(B316,Tabela2[Area], 0)), "Não encontrado")</f>
        <v>1003</v>
      </c>
      <c r="B316" s="47" t="s">
        <v>92</v>
      </c>
      <c r="C316" s="48" t="s">
        <v>259</v>
      </c>
      <c r="D316" s="62">
        <f>IFERROR(INDEX(Metas!$D$2:$D$104, MATCH(E316,Metas!$E$2:$E$104, 0)), "Não encontrado")</f>
        <v>184</v>
      </c>
      <c r="E316" s="63" t="s">
        <v>160</v>
      </c>
      <c r="F316" s="63" t="s">
        <v>615</v>
      </c>
      <c r="G316" s="62" t="str">
        <f t="shared" ca="1" si="17"/>
        <v>Concluído</v>
      </c>
      <c r="H316" s="64">
        <v>45807</v>
      </c>
      <c r="I316" s="73">
        <v>1</v>
      </c>
      <c r="J316" s="53">
        <f t="shared" si="16"/>
        <v>24</v>
      </c>
      <c r="K316" s="66">
        <v>45778</v>
      </c>
      <c r="L316" s="67">
        <v>45807</v>
      </c>
      <c r="M316" s="68">
        <f t="shared" si="18"/>
        <v>30</v>
      </c>
      <c r="N316" s="69">
        <f>IFERROR(INDEX(Tabela3[ID_Responsavel], MATCH(O316,Tabela3[[Responsáveis ]], 0)), "Não encontrado")</f>
        <v>16</v>
      </c>
      <c r="O316" s="58" t="s">
        <v>158</v>
      </c>
      <c r="P316" s="102" t="s">
        <v>281</v>
      </c>
      <c r="Q316" s="100" t="s">
        <v>621</v>
      </c>
    </row>
    <row r="317" spans="1:17" ht="30" hidden="1" customHeight="1">
      <c r="A317" s="117">
        <f>IFERROR(INDEX(Tabela2[ID_Area], MATCH(B317,Tabela2[Area], 0)), "Não encontrado")</f>
        <v>1000</v>
      </c>
      <c r="B317" s="47" t="s">
        <v>54</v>
      </c>
      <c r="C317" s="48" t="s">
        <v>24</v>
      </c>
      <c r="D317" s="62">
        <f>IFERROR(INDEX(Metas!$D$2:$D$104, MATCH(E317,Metas!$E$2:$E$104, 0)), "Não encontrado")</f>
        <v>151</v>
      </c>
      <c r="E317" s="63" t="s">
        <v>107</v>
      </c>
      <c r="F317" s="63" t="s">
        <v>210</v>
      </c>
      <c r="G317" s="62" t="str">
        <f t="shared" ca="1" si="17"/>
        <v>Concluído</v>
      </c>
      <c r="H317" s="70" t="s">
        <v>198</v>
      </c>
      <c r="I317" s="65">
        <v>1</v>
      </c>
      <c r="J317" s="53">
        <f t="shared" si="16"/>
        <v>2.8892455858747996</v>
      </c>
      <c r="K317" s="66">
        <v>45674</v>
      </c>
      <c r="L317" s="67">
        <v>45688</v>
      </c>
      <c r="M317" s="68">
        <f t="shared" si="18"/>
        <v>15</v>
      </c>
      <c r="N317" s="69">
        <f>IFERROR(INDEX(Tabela3[ID_Responsavel], MATCH(O317,Tabela3[[Responsáveis ]], 0)), "Não encontrado")</f>
        <v>14</v>
      </c>
      <c r="O317" s="58" t="s">
        <v>108</v>
      </c>
      <c r="P317" s="102" t="s">
        <v>31</v>
      </c>
      <c r="Q317" s="100" t="s">
        <v>198</v>
      </c>
    </row>
    <row r="318" spans="1:17" ht="30" hidden="1" customHeight="1">
      <c r="A318" s="113">
        <f>IFERROR(INDEX(Tabela2[ID_Area], MATCH(B318,Tabela2[Area], 0)), "Não encontrado")</f>
        <v>1000</v>
      </c>
      <c r="B318" s="47" t="s">
        <v>54</v>
      </c>
      <c r="C318" s="48" t="s">
        <v>24</v>
      </c>
      <c r="D318" s="62">
        <f>IFERROR(INDEX(Metas!$D$2:$D$104, MATCH(E318,Metas!$E$2:$E$104, 0)), "Não encontrado")</f>
        <v>151</v>
      </c>
      <c r="E318" s="63" t="s">
        <v>107</v>
      </c>
      <c r="F318" s="103" t="s">
        <v>211</v>
      </c>
      <c r="G318" s="62" t="str">
        <f t="shared" ca="1" si="17"/>
        <v>Concluído</v>
      </c>
      <c r="H318" s="104" t="s">
        <v>198</v>
      </c>
      <c r="I318" s="105">
        <v>1</v>
      </c>
      <c r="J318" s="53">
        <f t="shared" si="16"/>
        <v>0.96308186195826639</v>
      </c>
      <c r="K318" s="66">
        <v>45689</v>
      </c>
      <c r="L318" s="67">
        <v>45693</v>
      </c>
      <c r="M318" s="68">
        <f t="shared" si="18"/>
        <v>5</v>
      </c>
      <c r="N318" s="69">
        <f>IFERROR(INDEX(Tabela3[ID_Responsavel], MATCH(O318,Tabela3[[Responsáveis ]], 0)), "Não encontrado")</f>
        <v>14</v>
      </c>
      <c r="O318" s="58" t="s">
        <v>108</v>
      </c>
      <c r="P318" s="59" t="s">
        <v>31</v>
      </c>
      <c r="Q318" s="60" t="s">
        <v>198</v>
      </c>
    </row>
    <row r="319" spans="1:17" ht="30" hidden="1" customHeight="1">
      <c r="A319" s="117">
        <f>IFERROR(INDEX(Tabela2[ID_Area], MATCH(B319,Tabela2[Area], 0)), "Não encontrado")</f>
        <v>1000</v>
      </c>
      <c r="B319" s="47" t="s">
        <v>54</v>
      </c>
      <c r="C319" s="48" t="s">
        <v>24</v>
      </c>
      <c r="D319" s="62">
        <f>IFERROR(INDEX(Metas!$D$2:$D$104, MATCH(E319,Metas!$E$2:$E$104, 0)), "Não encontrado")</f>
        <v>151</v>
      </c>
      <c r="E319" s="63" t="s">
        <v>107</v>
      </c>
      <c r="F319" s="103" t="s">
        <v>212</v>
      </c>
      <c r="G319" s="62" t="str">
        <f t="shared" ca="1" si="17"/>
        <v>Concluído</v>
      </c>
      <c r="H319" s="104" t="s">
        <v>198</v>
      </c>
      <c r="I319" s="105">
        <v>1</v>
      </c>
      <c r="J319" s="53">
        <f t="shared" si="16"/>
        <v>1.9261637239165328</v>
      </c>
      <c r="K319" s="66">
        <v>45694</v>
      </c>
      <c r="L319" s="67">
        <v>45703</v>
      </c>
      <c r="M319" s="68">
        <f t="shared" si="18"/>
        <v>10</v>
      </c>
      <c r="N319" s="69">
        <f>IFERROR(INDEX(Tabela3[ID_Responsavel], MATCH(O319,Tabela3[[Responsáveis ]], 0)), "Não encontrado")</f>
        <v>14</v>
      </c>
      <c r="O319" s="58" t="s">
        <v>108</v>
      </c>
      <c r="P319" s="59" t="s">
        <v>31</v>
      </c>
      <c r="Q319" s="60" t="s">
        <v>198</v>
      </c>
    </row>
    <row r="320" spans="1:17" ht="30" hidden="1" customHeight="1">
      <c r="A320" s="113">
        <f>IFERROR(INDEX(Tabela2[ID_Area], MATCH(B320,Tabela2[Area], 0)), "Não encontrado")</f>
        <v>1000</v>
      </c>
      <c r="B320" s="47" t="s">
        <v>54</v>
      </c>
      <c r="C320" s="48" t="s">
        <v>24</v>
      </c>
      <c r="D320" s="62">
        <f>IFERROR(INDEX(Metas!$D$2:$D$104, MATCH(E320,Metas!$E$2:$E$104, 0)), "Não encontrado")</f>
        <v>151</v>
      </c>
      <c r="E320" s="63" t="s">
        <v>107</v>
      </c>
      <c r="F320" s="103" t="s">
        <v>213</v>
      </c>
      <c r="G320" s="62" t="str">
        <f t="shared" ca="1" si="17"/>
        <v>Concluído</v>
      </c>
      <c r="H320" s="104" t="s">
        <v>198</v>
      </c>
      <c r="I320" s="105">
        <v>1</v>
      </c>
      <c r="J320" s="53">
        <f t="shared" si="16"/>
        <v>61.444622792937395</v>
      </c>
      <c r="K320" s="66">
        <v>45704</v>
      </c>
      <c r="L320" s="67">
        <v>46022</v>
      </c>
      <c r="M320" s="68">
        <f t="shared" si="18"/>
        <v>319</v>
      </c>
      <c r="N320" s="69">
        <f>IFERROR(INDEX(Tabela3[ID_Responsavel], MATCH(O320,Tabela3[[Responsáveis ]], 0)), "Não encontrado")</f>
        <v>14</v>
      </c>
      <c r="O320" s="58" t="s">
        <v>108</v>
      </c>
      <c r="P320" s="59" t="s">
        <v>31</v>
      </c>
      <c r="Q320" s="60" t="s">
        <v>198</v>
      </c>
    </row>
    <row r="321" spans="1:17" ht="30" hidden="1" customHeight="1">
      <c r="A321" s="117">
        <f>IFERROR(INDEX(Tabela2[ID_Area], MATCH(B321,Tabela2[Area], 0)), "Não encontrado")</f>
        <v>1000</v>
      </c>
      <c r="B321" s="47" t="s">
        <v>54</v>
      </c>
      <c r="C321" s="48" t="s">
        <v>24</v>
      </c>
      <c r="D321" s="62">
        <f>IFERROR(INDEX(Metas!$D$2:$D$104, MATCH(E321,Metas!$E$2:$E$104, 0)), "Não encontrado")</f>
        <v>151</v>
      </c>
      <c r="E321" s="63" t="s">
        <v>107</v>
      </c>
      <c r="F321" s="103" t="s">
        <v>214</v>
      </c>
      <c r="G321" s="62" t="str">
        <f t="shared" ca="1" si="17"/>
        <v>Concluído</v>
      </c>
      <c r="H321" s="104" t="s">
        <v>198</v>
      </c>
      <c r="I321" s="105">
        <v>1</v>
      </c>
      <c r="J321" s="53">
        <f t="shared" si="16"/>
        <v>11.749598715890849</v>
      </c>
      <c r="K321" s="66">
        <v>45748</v>
      </c>
      <c r="L321" s="67">
        <v>45808</v>
      </c>
      <c r="M321" s="68">
        <f t="shared" si="18"/>
        <v>61</v>
      </c>
      <c r="N321" s="69">
        <f>IFERROR(INDEX(Tabela3[ID_Responsavel], MATCH(O321,Tabela3[[Responsáveis ]], 0)), "Não encontrado")</f>
        <v>14</v>
      </c>
      <c r="O321" s="58" t="s">
        <v>108</v>
      </c>
      <c r="P321" s="59" t="s">
        <v>31</v>
      </c>
      <c r="Q321" s="60" t="s">
        <v>198</v>
      </c>
    </row>
    <row r="322" spans="1:17" ht="30" hidden="1" customHeight="1">
      <c r="A322" s="113">
        <f>IFERROR(INDEX(Tabela2[ID_Area], MATCH(B322,Tabela2[Area], 0)), "Não encontrado")</f>
        <v>1000</v>
      </c>
      <c r="B322" s="47" t="s">
        <v>54</v>
      </c>
      <c r="C322" s="48" t="s">
        <v>24</v>
      </c>
      <c r="D322" s="62">
        <f>IFERROR(INDEX(Metas!$D$2:$D$104, MATCH(E322,Metas!$E$2:$E$104, 0)), "Não encontrado")</f>
        <v>151</v>
      </c>
      <c r="E322" s="63" t="s">
        <v>107</v>
      </c>
      <c r="F322" s="103" t="s">
        <v>215</v>
      </c>
      <c r="G322" s="62" t="str">
        <f t="shared" ca="1" si="17"/>
        <v>Concluído</v>
      </c>
      <c r="H322" s="104" t="s">
        <v>198</v>
      </c>
      <c r="I322" s="105">
        <v>1</v>
      </c>
      <c r="J322" s="53">
        <f t="shared" ref="J322:J385" si="19">IFERROR( M322 / SUMIFS($M:$M, $E:$E, $E322, $O:$O, $O322) * 120, 0 )</f>
        <v>6.9341894060995184</v>
      </c>
      <c r="K322" s="66">
        <v>45810</v>
      </c>
      <c r="L322" s="67">
        <v>45845</v>
      </c>
      <c r="M322" s="68">
        <f t="shared" si="18"/>
        <v>36</v>
      </c>
      <c r="N322" s="69">
        <f>IFERROR(INDEX(Tabela3[ID_Responsavel], MATCH(O322,Tabela3[[Responsáveis ]], 0)), "Não encontrado")</f>
        <v>14</v>
      </c>
      <c r="O322" s="58" t="s">
        <v>108</v>
      </c>
      <c r="P322" s="59" t="s">
        <v>31</v>
      </c>
      <c r="Q322" s="60" t="s">
        <v>198</v>
      </c>
    </row>
    <row r="323" spans="1:17" ht="30" hidden="1" customHeight="1">
      <c r="A323" s="117">
        <f>IFERROR(INDEX(Tabela2[ID_Area], MATCH(B323,Tabela2[Area], 0)), "Não encontrado")</f>
        <v>1000</v>
      </c>
      <c r="B323" s="47" t="s">
        <v>54</v>
      </c>
      <c r="C323" s="48" t="s">
        <v>24</v>
      </c>
      <c r="D323" s="62">
        <f>IFERROR(INDEX(Metas!$D$2:$D$104, MATCH(E323,Metas!$E$2:$E$104, 0)), "Não encontrado")</f>
        <v>151</v>
      </c>
      <c r="E323" s="63" t="s">
        <v>107</v>
      </c>
      <c r="F323" s="103" t="s">
        <v>216</v>
      </c>
      <c r="G323" s="62" t="str">
        <f t="shared" ref="G323:G342" ca="1" si="20">IF(I323=1,"Concluído",
   IF(TODAY()&gt;L323,"Atrasado",
      IF(AND(I323=0,TODAY()&lt;K323),"Não iniciado",
         "Em Andamento")))</f>
        <v>Concluído</v>
      </c>
      <c r="H323" s="104" t="s">
        <v>198</v>
      </c>
      <c r="I323" s="105">
        <v>1</v>
      </c>
      <c r="J323" s="53">
        <f t="shared" si="19"/>
        <v>0.57784911717495979</v>
      </c>
      <c r="K323" s="66">
        <v>45846</v>
      </c>
      <c r="L323" s="67">
        <v>45848</v>
      </c>
      <c r="M323" s="68">
        <f t="shared" ref="M323:M386" si="21" xml:space="preserve"> L323 - K323 + 1</f>
        <v>3</v>
      </c>
      <c r="N323" s="69">
        <f>IFERROR(INDEX(Tabela3[ID_Responsavel], MATCH(O323,Tabela3[[Responsáveis ]], 0)), "Não encontrado")</f>
        <v>14</v>
      </c>
      <c r="O323" s="58" t="s">
        <v>108</v>
      </c>
      <c r="P323" s="59" t="s">
        <v>31</v>
      </c>
      <c r="Q323" s="60" t="s">
        <v>198</v>
      </c>
    </row>
    <row r="324" spans="1:17" ht="30" hidden="1" customHeight="1">
      <c r="A324" s="113">
        <f>IFERROR(INDEX(Tabela2[ID_Area], MATCH(B324,Tabela2[Area], 0)), "Não encontrado")</f>
        <v>1000</v>
      </c>
      <c r="B324" s="47" t="s">
        <v>54</v>
      </c>
      <c r="C324" s="48" t="s">
        <v>24</v>
      </c>
      <c r="D324" s="62">
        <f>IFERROR(INDEX(Metas!$D$2:$D$104, MATCH(E324,Metas!$E$2:$E$104, 0)), "Não encontrado")</f>
        <v>151</v>
      </c>
      <c r="E324" s="63" t="s">
        <v>107</v>
      </c>
      <c r="F324" s="103" t="s">
        <v>217</v>
      </c>
      <c r="G324" s="62" t="str">
        <f t="shared" ca="1" si="20"/>
        <v>Concluído</v>
      </c>
      <c r="H324" s="104" t="s">
        <v>198</v>
      </c>
      <c r="I324" s="105">
        <v>1</v>
      </c>
      <c r="J324" s="53">
        <f t="shared" si="19"/>
        <v>1.1556982343499196</v>
      </c>
      <c r="K324" s="66">
        <v>45849</v>
      </c>
      <c r="L324" s="67">
        <v>45854</v>
      </c>
      <c r="M324" s="68">
        <f t="shared" si="21"/>
        <v>6</v>
      </c>
      <c r="N324" s="69">
        <f>IFERROR(INDEX(Tabela3[ID_Responsavel], MATCH(O324,Tabela3[[Responsáveis ]], 0)), "Não encontrado")</f>
        <v>14</v>
      </c>
      <c r="O324" s="58" t="s">
        <v>108</v>
      </c>
      <c r="P324" s="59" t="s">
        <v>31</v>
      </c>
      <c r="Q324" s="60" t="s">
        <v>198</v>
      </c>
    </row>
    <row r="325" spans="1:17" ht="30" hidden="1" customHeight="1">
      <c r="A325" s="117">
        <f>IFERROR(INDEX(Tabela2[ID_Area], MATCH(B325,Tabela2[Area], 0)), "Não encontrado")</f>
        <v>1000</v>
      </c>
      <c r="B325" s="47" t="s">
        <v>54</v>
      </c>
      <c r="C325" s="48" t="s">
        <v>24</v>
      </c>
      <c r="D325" s="62">
        <f>IFERROR(INDEX(Metas!$D$2:$D$104, MATCH(E325,Metas!$E$2:$E$104, 0)), "Não encontrado")</f>
        <v>151</v>
      </c>
      <c r="E325" s="63" t="s">
        <v>107</v>
      </c>
      <c r="F325" s="103" t="s">
        <v>210</v>
      </c>
      <c r="G325" s="62" t="str">
        <f t="shared" ca="1" si="20"/>
        <v>Concluído</v>
      </c>
      <c r="H325" s="104" t="s">
        <v>198</v>
      </c>
      <c r="I325" s="105">
        <v>1</v>
      </c>
      <c r="J325" s="53">
        <f t="shared" si="19"/>
        <v>2.8892455858747996</v>
      </c>
      <c r="K325" s="66">
        <v>45855</v>
      </c>
      <c r="L325" s="67">
        <v>45869</v>
      </c>
      <c r="M325" s="68">
        <f t="shared" si="21"/>
        <v>15</v>
      </c>
      <c r="N325" s="69">
        <f>IFERROR(INDEX(Tabela3[ID_Responsavel], MATCH(O325,Tabela3[[Responsáveis ]], 0)), "Não encontrado")</f>
        <v>14</v>
      </c>
      <c r="O325" s="58" t="s">
        <v>108</v>
      </c>
      <c r="P325" s="59" t="s">
        <v>31</v>
      </c>
      <c r="Q325" s="60" t="s">
        <v>198</v>
      </c>
    </row>
    <row r="326" spans="1:17" ht="30" hidden="1" customHeight="1">
      <c r="A326" s="113">
        <f>IFERROR(INDEX(Tabela2[ID_Area], MATCH(B326,Tabela2[Area], 0)), "Não encontrado")</f>
        <v>1000</v>
      </c>
      <c r="B326" s="47" t="s">
        <v>54</v>
      </c>
      <c r="C326" s="48" t="s">
        <v>24</v>
      </c>
      <c r="D326" s="62">
        <f>IFERROR(INDEX(Metas!$D$2:$D$104, MATCH(E326,Metas!$E$2:$E$104, 0)), "Não encontrado")</f>
        <v>151</v>
      </c>
      <c r="E326" s="63" t="s">
        <v>107</v>
      </c>
      <c r="F326" s="103" t="s">
        <v>211</v>
      </c>
      <c r="G326" s="62" t="str">
        <f t="shared" ca="1" si="20"/>
        <v>Concluído</v>
      </c>
      <c r="H326" s="104" t="s">
        <v>198</v>
      </c>
      <c r="I326" s="105">
        <v>1</v>
      </c>
      <c r="J326" s="53">
        <f t="shared" si="19"/>
        <v>1.9261637239165328</v>
      </c>
      <c r="K326" s="66">
        <v>45870</v>
      </c>
      <c r="L326" s="67">
        <v>45879</v>
      </c>
      <c r="M326" s="68">
        <f t="shared" si="21"/>
        <v>10</v>
      </c>
      <c r="N326" s="69">
        <f>IFERROR(INDEX(Tabela3[ID_Responsavel], MATCH(O326,Tabela3[[Responsáveis ]], 0)), "Não encontrado")</f>
        <v>14</v>
      </c>
      <c r="O326" s="58" t="s">
        <v>108</v>
      </c>
      <c r="P326" s="59" t="s">
        <v>31</v>
      </c>
      <c r="Q326" s="60" t="s">
        <v>198</v>
      </c>
    </row>
    <row r="327" spans="1:17" ht="30" hidden="1" customHeight="1">
      <c r="A327" s="117">
        <f>IFERROR(INDEX(Tabela2[ID_Area], MATCH(B327,Tabela2[Area], 0)), "Não encontrado")</f>
        <v>1000</v>
      </c>
      <c r="B327" s="47" t="s">
        <v>54</v>
      </c>
      <c r="C327" s="48" t="s">
        <v>24</v>
      </c>
      <c r="D327" s="62">
        <f>IFERROR(INDEX(Metas!$D$2:$D$104, MATCH(E327,Metas!$E$2:$E$104, 0)), "Não encontrado")</f>
        <v>151</v>
      </c>
      <c r="E327" s="63" t="s">
        <v>107</v>
      </c>
      <c r="F327" s="103" t="s">
        <v>212</v>
      </c>
      <c r="G327" s="62" t="str">
        <f t="shared" ca="1" si="20"/>
        <v>Concluído</v>
      </c>
      <c r="H327" s="104" t="s">
        <v>198</v>
      </c>
      <c r="I327" s="105">
        <v>1</v>
      </c>
      <c r="J327" s="53">
        <f t="shared" si="19"/>
        <v>1.9261637239165328</v>
      </c>
      <c r="K327" s="66">
        <v>45880</v>
      </c>
      <c r="L327" s="67">
        <v>45889</v>
      </c>
      <c r="M327" s="68">
        <f t="shared" si="21"/>
        <v>10</v>
      </c>
      <c r="N327" s="69">
        <f>IFERROR(INDEX(Tabela3[ID_Responsavel], MATCH(O327,Tabela3[[Responsáveis ]], 0)), "Não encontrado")</f>
        <v>14</v>
      </c>
      <c r="O327" s="58" t="s">
        <v>108</v>
      </c>
      <c r="P327" s="59" t="s">
        <v>31</v>
      </c>
      <c r="Q327" s="60" t="s">
        <v>198</v>
      </c>
    </row>
    <row r="328" spans="1:17" ht="30" hidden="1" customHeight="1">
      <c r="A328" s="113">
        <f>IFERROR(INDEX(Tabela2[ID_Area], MATCH(B328,Tabela2[Area], 0)), "Não encontrado")</f>
        <v>1000</v>
      </c>
      <c r="B328" s="47" t="s">
        <v>54</v>
      </c>
      <c r="C328" s="48" t="s">
        <v>24</v>
      </c>
      <c r="D328" s="62">
        <f>IFERROR(INDEX(Metas!$D$2:$D$104, MATCH(E328,Metas!$E$2:$E$104, 0)), "Não encontrado")</f>
        <v>151</v>
      </c>
      <c r="E328" s="63" t="s">
        <v>107</v>
      </c>
      <c r="F328" s="103" t="s">
        <v>213</v>
      </c>
      <c r="G328" s="62" t="str">
        <f t="shared" ca="1" si="20"/>
        <v>Concluído</v>
      </c>
      <c r="H328" s="104" t="s">
        <v>198</v>
      </c>
      <c r="I328" s="105">
        <v>1</v>
      </c>
      <c r="J328" s="53">
        <f t="shared" si="19"/>
        <v>2.1187800963081864</v>
      </c>
      <c r="K328" s="66">
        <v>45890</v>
      </c>
      <c r="L328" s="67">
        <v>45900</v>
      </c>
      <c r="M328" s="68">
        <f t="shared" si="21"/>
        <v>11</v>
      </c>
      <c r="N328" s="69">
        <f>IFERROR(INDEX(Tabela3[ID_Responsavel], MATCH(O328,Tabela3[[Responsáveis ]], 0)), "Não encontrado")</f>
        <v>14</v>
      </c>
      <c r="O328" s="58" t="s">
        <v>108</v>
      </c>
      <c r="P328" s="59" t="s">
        <v>31</v>
      </c>
      <c r="Q328" s="60" t="s">
        <v>198</v>
      </c>
    </row>
    <row r="329" spans="1:17" ht="30" hidden="1" customHeight="1">
      <c r="A329" s="117">
        <f>IFERROR(INDEX(Tabela2[ID_Area], MATCH(B329,Tabela2[Area], 0)), "Não encontrado")</f>
        <v>1000</v>
      </c>
      <c r="B329" s="47" t="s">
        <v>54</v>
      </c>
      <c r="C329" s="48" t="s">
        <v>24</v>
      </c>
      <c r="D329" s="62">
        <f>IFERROR(INDEX(Metas!$D$2:$D$104, MATCH(E329,Metas!$E$2:$E$104, 0)), "Não encontrado")</f>
        <v>151</v>
      </c>
      <c r="E329" s="63" t="s">
        <v>107</v>
      </c>
      <c r="F329" s="103" t="s">
        <v>214</v>
      </c>
      <c r="G329" s="62" t="str">
        <f t="shared" ca="1" si="20"/>
        <v>Concluído</v>
      </c>
      <c r="H329" s="104" t="s">
        <v>198</v>
      </c>
      <c r="I329" s="105">
        <v>1</v>
      </c>
      <c r="J329" s="53">
        <f t="shared" si="19"/>
        <v>4.2375601926163728</v>
      </c>
      <c r="K329" s="66">
        <v>45901</v>
      </c>
      <c r="L329" s="67">
        <v>45922</v>
      </c>
      <c r="M329" s="68">
        <f t="shared" si="21"/>
        <v>22</v>
      </c>
      <c r="N329" s="69">
        <f>IFERROR(INDEX(Tabela3[ID_Responsavel], MATCH(O329,Tabela3[[Responsáveis ]], 0)), "Não encontrado")</f>
        <v>14</v>
      </c>
      <c r="O329" s="58" t="s">
        <v>108</v>
      </c>
      <c r="P329" s="59" t="s">
        <v>31</v>
      </c>
      <c r="Q329" s="60" t="s">
        <v>198</v>
      </c>
    </row>
    <row r="330" spans="1:17" ht="30" hidden="1" customHeight="1">
      <c r="A330" s="113">
        <f>IFERROR(INDEX(Tabela2[ID_Area], MATCH(B330,Tabela2[Area], 0)), "Não encontrado")</f>
        <v>1000</v>
      </c>
      <c r="B330" s="47" t="s">
        <v>54</v>
      </c>
      <c r="C330" s="48" t="s">
        <v>24</v>
      </c>
      <c r="D330" s="62">
        <f>IFERROR(INDEX(Metas!$D$2:$D$104, MATCH(E330,Metas!$E$2:$E$104, 0)), "Não encontrado")</f>
        <v>151</v>
      </c>
      <c r="E330" s="63" t="s">
        <v>107</v>
      </c>
      <c r="F330" s="103" t="s">
        <v>215</v>
      </c>
      <c r="G330" s="62" t="str">
        <f t="shared" ca="1" si="20"/>
        <v>Concluído</v>
      </c>
      <c r="H330" s="104" t="s">
        <v>198</v>
      </c>
      <c r="I330" s="105">
        <v>1</v>
      </c>
      <c r="J330" s="53">
        <f t="shared" si="19"/>
        <v>1.5409309791332264</v>
      </c>
      <c r="K330" s="66">
        <v>45923</v>
      </c>
      <c r="L330" s="67">
        <v>45930</v>
      </c>
      <c r="M330" s="68">
        <f t="shared" si="21"/>
        <v>8</v>
      </c>
      <c r="N330" s="69">
        <f>IFERROR(INDEX(Tabela3[ID_Responsavel], MATCH(O330,Tabela3[[Responsáveis ]], 0)), "Não encontrado")</f>
        <v>14</v>
      </c>
      <c r="O330" s="58" t="s">
        <v>108</v>
      </c>
      <c r="P330" s="59" t="s">
        <v>31</v>
      </c>
      <c r="Q330" s="60" t="s">
        <v>198</v>
      </c>
    </row>
    <row r="331" spans="1:17" ht="30" hidden="1" customHeight="1">
      <c r="A331" s="117">
        <f>IFERROR(INDEX(Tabela2[ID_Area], MATCH(B331,Tabela2[Area], 0)), "Não encontrado")</f>
        <v>1000</v>
      </c>
      <c r="B331" s="47" t="s">
        <v>54</v>
      </c>
      <c r="C331" s="48" t="s">
        <v>24</v>
      </c>
      <c r="D331" s="62">
        <f>IFERROR(INDEX(Metas!$D$2:$D$104, MATCH(E331,Metas!$E$2:$E$104, 0)), "Não encontrado")</f>
        <v>151</v>
      </c>
      <c r="E331" s="63" t="s">
        <v>107</v>
      </c>
      <c r="F331" s="103" t="s">
        <v>216</v>
      </c>
      <c r="G331" s="62" t="str">
        <f t="shared" ca="1" si="20"/>
        <v>Concluído</v>
      </c>
      <c r="H331" s="104" t="s">
        <v>198</v>
      </c>
      <c r="I331" s="105">
        <v>1</v>
      </c>
      <c r="J331" s="53">
        <f t="shared" si="19"/>
        <v>5.971107544141252</v>
      </c>
      <c r="K331" s="66">
        <v>45931</v>
      </c>
      <c r="L331" s="67">
        <v>45961</v>
      </c>
      <c r="M331" s="68">
        <f t="shared" si="21"/>
        <v>31</v>
      </c>
      <c r="N331" s="69">
        <f>IFERROR(INDEX(Tabela3[ID_Responsavel], MATCH(O331,Tabela3[[Responsáveis ]], 0)), "Não encontrado")</f>
        <v>14</v>
      </c>
      <c r="O331" s="58" t="s">
        <v>108</v>
      </c>
      <c r="P331" s="59" t="s">
        <v>31</v>
      </c>
      <c r="Q331" s="60" t="s">
        <v>198</v>
      </c>
    </row>
    <row r="332" spans="1:17" ht="30" hidden="1" customHeight="1">
      <c r="A332" s="113">
        <f>IFERROR(INDEX(Tabela2[ID_Area], MATCH(B332,Tabela2[Area], 0)), "Não encontrado")</f>
        <v>1000</v>
      </c>
      <c r="B332" s="47" t="s">
        <v>54</v>
      </c>
      <c r="C332" s="48" t="s">
        <v>24</v>
      </c>
      <c r="D332" s="62">
        <f>IFERROR(INDEX(Metas!$D$2:$D$104, MATCH(E332,Metas!$E$2:$E$104, 0)), "Não encontrado")</f>
        <v>151</v>
      </c>
      <c r="E332" s="63" t="s">
        <v>107</v>
      </c>
      <c r="F332" s="103" t="s">
        <v>217</v>
      </c>
      <c r="G332" s="62" t="str">
        <f t="shared" ca="1" si="20"/>
        <v>Atrasado</v>
      </c>
      <c r="H332" s="104" t="s">
        <v>198</v>
      </c>
      <c r="I332" s="105">
        <v>0.8</v>
      </c>
      <c r="J332" s="53">
        <f t="shared" si="19"/>
        <v>11.749598715890849</v>
      </c>
      <c r="K332" s="66">
        <v>45962</v>
      </c>
      <c r="L332" s="67">
        <v>46022</v>
      </c>
      <c r="M332" s="68">
        <f t="shared" si="21"/>
        <v>61</v>
      </c>
      <c r="N332" s="69">
        <f>IFERROR(INDEX(Tabela3[ID_Responsavel], MATCH(O332,Tabela3[[Responsáveis ]], 0)), "Não encontrado")</f>
        <v>14</v>
      </c>
      <c r="O332" s="58" t="s">
        <v>108</v>
      </c>
      <c r="P332" s="59" t="s">
        <v>31</v>
      </c>
      <c r="Q332" s="60" t="s">
        <v>198</v>
      </c>
    </row>
    <row r="333" spans="1:17" ht="15" hidden="1" customHeight="1">
      <c r="A333" s="117">
        <f>IFERROR(INDEX(Tabela2[ID_Area], MATCH(B333,Tabela2[Area], 0)), "Não encontrado")</f>
        <v>1000</v>
      </c>
      <c r="B333" s="47" t="s">
        <v>54</v>
      </c>
      <c r="C333" s="48" t="s">
        <v>24</v>
      </c>
      <c r="D333" s="62">
        <f>IFERROR(INDEX(Metas!$D$2:$D$104, MATCH(E333,Metas!$E$2:$E$104, 0)), "Não encontrado")</f>
        <v>152</v>
      </c>
      <c r="E333" s="63" t="s">
        <v>109</v>
      </c>
      <c r="F333" s="63" t="s">
        <v>622</v>
      </c>
      <c r="G333" s="62" t="str">
        <f t="shared" ca="1" si="20"/>
        <v>Concluído</v>
      </c>
      <c r="H333" s="83" t="s">
        <v>198</v>
      </c>
      <c r="I333" s="65">
        <v>1</v>
      </c>
      <c r="J333" s="53">
        <f t="shared" si="19"/>
        <v>39.568965517241374</v>
      </c>
      <c r="K333" s="66">
        <v>45717</v>
      </c>
      <c r="L333" s="67">
        <v>46022</v>
      </c>
      <c r="M333" s="68">
        <f t="shared" si="21"/>
        <v>306</v>
      </c>
      <c r="N333" s="69">
        <f>IFERROR(INDEX(Tabela3[ID_Responsavel], MATCH(O333,Tabela3[[Responsáveis ]], 0)), "Não encontrado")</f>
        <v>14</v>
      </c>
      <c r="O333" s="58" t="s">
        <v>108</v>
      </c>
      <c r="P333" s="59" t="s">
        <v>31</v>
      </c>
      <c r="Q333" s="60" t="s">
        <v>198</v>
      </c>
    </row>
    <row r="334" spans="1:17" ht="15" hidden="1" customHeight="1">
      <c r="A334" s="113">
        <f>IFERROR(INDEX(Tabela2[ID_Area], MATCH(B334,Tabela2[Area], 0)), "Não encontrado")</f>
        <v>1000</v>
      </c>
      <c r="B334" s="47" t="s">
        <v>54</v>
      </c>
      <c r="C334" s="48" t="s">
        <v>24</v>
      </c>
      <c r="D334" s="62">
        <f>IFERROR(INDEX(Metas!$D$2:$D$104, MATCH(E334,Metas!$E$2:$E$104, 0)), "Não encontrado")</f>
        <v>152</v>
      </c>
      <c r="E334" s="63" t="s">
        <v>109</v>
      </c>
      <c r="F334" s="63" t="s">
        <v>623</v>
      </c>
      <c r="G334" s="62" t="str">
        <f t="shared" ca="1" si="20"/>
        <v>Concluído</v>
      </c>
      <c r="H334" s="83" t="s">
        <v>198</v>
      </c>
      <c r="I334" s="65">
        <v>1</v>
      </c>
      <c r="J334" s="53">
        <f t="shared" si="19"/>
        <v>32.974137931034477</v>
      </c>
      <c r="K334" s="66">
        <v>45768</v>
      </c>
      <c r="L334" s="67">
        <v>46022</v>
      </c>
      <c r="M334" s="68">
        <f t="shared" si="21"/>
        <v>255</v>
      </c>
      <c r="N334" s="69">
        <f>IFERROR(INDEX(Tabela3[ID_Responsavel], MATCH(O334,Tabela3[[Responsáveis ]], 0)), "Não encontrado")</f>
        <v>14</v>
      </c>
      <c r="O334" s="58" t="s">
        <v>108</v>
      </c>
      <c r="P334" s="59" t="s">
        <v>31</v>
      </c>
      <c r="Q334" s="60" t="s">
        <v>198</v>
      </c>
    </row>
    <row r="335" spans="1:17" ht="15" hidden="1" customHeight="1">
      <c r="A335" s="117">
        <f>IFERROR(INDEX(Tabela2[ID_Area], MATCH(B335,Tabela2[Area], 0)), "Não encontrado")</f>
        <v>1000</v>
      </c>
      <c r="B335" s="47" t="s">
        <v>54</v>
      </c>
      <c r="C335" s="48" t="s">
        <v>24</v>
      </c>
      <c r="D335" s="62">
        <f>IFERROR(INDEX(Metas!$D$2:$D$104, MATCH(E335,Metas!$E$2:$E$104, 0)), "Não encontrado")</f>
        <v>152</v>
      </c>
      <c r="E335" s="63" t="s">
        <v>109</v>
      </c>
      <c r="F335" s="63" t="s">
        <v>624</v>
      </c>
      <c r="G335" s="62" t="str">
        <f t="shared" ca="1" si="20"/>
        <v>Atrasado</v>
      </c>
      <c r="H335" s="83" t="s">
        <v>198</v>
      </c>
      <c r="I335" s="65">
        <v>0</v>
      </c>
      <c r="J335" s="53">
        <f t="shared" si="19"/>
        <v>27.672413793103448</v>
      </c>
      <c r="K335" s="66">
        <v>45809</v>
      </c>
      <c r="L335" s="67">
        <v>46022</v>
      </c>
      <c r="M335" s="68">
        <f t="shared" si="21"/>
        <v>214</v>
      </c>
      <c r="N335" s="69">
        <f>IFERROR(INDEX(Tabela3[ID_Responsavel], MATCH(O335,Tabela3[[Responsáveis ]], 0)), "Não encontrado")</f>
        <v>14</v>
      </c>
      <c r="O335" s="58" t="s">
        <v>108</v>
      </c>
      <c r="P335" s="59" t="s">
        <v>31</v>
      </c>
      <c r="Q335" s="60" t="s">
        <v>198</v>
      </c>
    </row>
    <row r="336" spans="1:17" ht="15" hidden="1" customHeight="1">
      <c r="A336" s="113">
        <f>IFERROR(INDEX(Tabela2[ID_Area], MATCH(B336,Tabela2[Area], 0)), "Não encontrado")</f>
        <v>1000</v>
      </c>
      <c r="B336" s="47" t="s">
        <v>54</v>
      </c>
      <c r="C336" s="48" t="s">
        <v>24</v>
      </c>
      <c r="D336" s="62">
        <f>IFERROR(INDEX(Metas!$D$2:$D$104, MATCH(E336,Metas!$E$2:$E$104, 0)), "Não encontrado")</f>
        <v>152</v>
      </c>
      <c r="E336" s="63" t="s">
        <v>109</v>
      </c>
      <c r="F336" s="63" t="s">
        <v>625</v>
      </c>
      <c r="G336" s="62" t="str">
        <f t="shared" ca="1" si="20"/>
        <v>Atrasado</v>
      </c>
      <c r="H336" s="83" t="s">
        <v>198</v>
      </c>
      <c r="I336" s="65">
        <v>0</v>
      </c>
      <c r="J336" s="53">
        <f t="shared" si="19"/>
        <v>19.784482758620687</v>
      </c>
      <c r="K336" s="66">
        <v>45870</v>
      </c>
      <c r="L336" s="67">
        <v>46022</v>
      </c>
      <c r="M336" s="68">
        <f t="shared" si="21"/>
        <v>153</v>
      </c>
      <c r="N336" s="69">
        <f>IFERROR(INDEX(Tabela3[ID_Responsavel], MATCH(O336,Tabela3[[Responsáveis ]], 0)), "Não encontrado")</f>
        <v>14</v>
      </c>
      <c r="O336" s="58" t="s">
        <v>108</v>
      </c>
      <c r="P336" s="59" t="s">
        <v>31</v>
      </c>
      <c r="Q336" s="60" t="s">
        <v>198</v>
      </c>
    </row>
    <row r="337" spans="1:17" ht="15" hidden="1" customHeight="1">
      <c r="A337" s="117">
        <f>IFERROR(INDEX(Tabela2[ID_Area], MATCH(B337,Tabela2[Area], 0)), "Não encontrado")</f>
        <v>1000</v>
      </c>
      <c r="B337" s="47" t="s">
        <v>54</v>
      </c>
      <c r="C337" s="48" t="s">
        <v>33</v>
      </c>
      <c r="D337" s="62">
        <f>IFERROR(INDEX(Metas!$D$2:$D$104, MATCH(E337,Metas!$E$2:$E$104, 0)), "Não encontrado")</f>
        <v>191</v>
      </c>
      <c r="E337" s="103" t="s">
        <v>168</v>
      </c>
      <c r="F337" s="103" t="s">
        <v>626</v>
      </c>
      <c r="G337" s="62" t="str">
        <f t="shared" ca="1" si="20"/>
        <v>Concluído</v>
      </c>
      <c r="H337" s="104"/>
      <c r="I337" s="65">
        <v>1</v>
      </c>
      <c r="J337" s="53">
        <f t="shared" si="19"/>
        <v>32.335329341317369</v>
      </c>
      <c r="K337" s="66">
        <v>45932</v>
      </c>
      <c r="L337" s="67">
        <v>45976</v>
      </c>
      <c r="M337" s="68">
        <f t="shared" si="21"/>
        <v>45</v>
      </c>
      <c r="N337" s="69">
        <f>IFERROR(INDEX(Tabela3[ID_Responsavel], MATCH(O337,Tabela3[[Responsáveis ]], 0)), "Não encontrado")</f>
        <v>5</v>
      </c>
      <c r="O337" s="58" t="s">
        <v>167</v>
      </c>
      <c r="P337" s="59" t="s">
        <v>281</v>
      </c>
      <c r="Q337" s="60"/>
    </row>
    <row r="338" spans="1:17" ht="15" hidden="1" customHeight="1">
      <c r="A338" s="113">
        <f>IFERROR(INDEX(Tabela2[ID_Area], MATCH(B338,Tabela2[Area], 0)), "Não encontrado")</f>
        <v>1000</v>
      </c>
      <c r="B338" s="47" t="s">
        <v>54</v>
      </c>
      <c r="C338" s="48" t="s">
        <v>33</v>
      </c>
      <c r="D338" s="62">
        <f>IFERROR(INDEX(Metas!$D$2:$D$104, MATCH(E338,Metas!$E$2:$E$104, 0)), "Não encontrado")</f>
        <v>191</v>
      </c>
      <c r="E338" s="103" t="s">
        <v>168</v>
      </c>
      <c r="F338" s="106" t="s">
        <v>627</v>
      </c>
      <c r="G338" s="62" t="str">
        <f t="shared" ca="1" si="20"/>
        <v>Concluído</v>
      </c>
      <c r="H338" s="104"/>
      <c r="I338" s="65">
        <v>1</v>
      </c>
      <c r="J338" s="53">
        <f t="shared" si="19"/>
        <v>43.832335329341319</v>
      </c>
      <c r="K338" s="66">
        <v>45933</v>
      </c>
      <c r="L338" s="67">
        <v>45993</v>
      </c>
      <c r="M338" s="68">
        <f t="shared" si="21"/>
        <v>61</v>
      </c>
      <c r="N338" s="69">
        <f>IFERROR(INDEX(Tabela3[ID_Responsavel], MATCH(O338,Tabela3[[Responsáveis ]], 0)), "Não encontrado")</f>
        <v>5</v>
      </c>
      <c r="O338" s="58" t="s">
        <v>167</v>
      </c>
      <c r="P338" s="59" t="s">
        <v>281</v>
      </c>
      <c r="Q338" s="60"/>
    </row>
    <row r="339" spans="1:17" ht="15" hidden="1" customHeight="1">
      <c r="A339" s="117">
        <f>IFERROR(INDEX(Tabela2[ID_Area], MATCH(B339,Tabela2[Area], 0)), "Não encontrado")</f>
        <v>1000</v>
      </c>
      <c r="B339" s="47" t="s">
        <v>54</v>
      </c>
      <c r="C339" s="48" t="s">
        <v>62</v>
      </c>
      <c r="D339" s="62">
        <f>IFERROR(INDEX(Metas!$D$2:$D$104, MATCH(E339,Metas!$E$2:$E$104, 0)), "Não encontrado")</f>
        <v>191</v>
      </c>
      <c r="E339" s="103" t="s">
        <v>168</v>
      </c>
      <c r="F339" s="103" t="s">
        <v>628</v>
      </c>
      <c r="G339" s="62" t="str">
        <f t="shared" ca="1" si="20"/>
        <v>Concluído</v>
      </c>
      <c r="H339" s="104"/>
      <c r="I339" s="65">
        <v>1</v>
      </c>
      <c r="J339" s="53">
        <f t="shared" si="19"/>
        <v>43.832335329341319</v>
      </c>
      <c r="K339" s="66">
        <v>45934</v>
      </c>
      <c r="L339" s="67">
        <v>45994</v>
      </c>
      <c r="M339" s="68">
        <f t="shared" si="21"/>
        <v>61</v>
      </c>
      <c r="N339" s="69">
        <f>IFERROR(INDEX(Tabela3[ID_Responsavel], MATCH(O339,Tabela3[[Responsáveis ]], 0)), "Não encontrado")</f>
        <v>5</v>
      </c>
      <c r="O339" s="58" t="s">
        <v>167</v>
      </c>
      <c r="P339" s="59" t="s">
        <v>281</v>
      </c>
      <c r="Q339" s="60"/>
    </row>
    <row r="340" spans="1:17" ht="15" hidden="1" customHeight="1">
      <c r="A340" s="113">
        <f>IFERROR(INDEX(Tabela2[ID_Area], MATCH(B340,Tabela2[Area], 0)), "Não encontrado")</f>
        <v>1000</v>
      </c>
      <c r="B340" s="47" t="s">
        <v>54</v>
      </c>
      <c r="C340" s="48" t="s">
        <v>62</v>
      </c>
      <c r="D340" s="62">
        <f>IFERROR(INDEX(Metas!$D$2:$D$104, MATCH(E340,Metas!$E$2:$E$104, 0)), "Não encontrado")</f>
        <v>190</v>
      </c>
      <c r="E340" s="103" t="s">
        <v>166</v>
      </c>
      <c r="F340" s="103" t="s">
        <v>166</v>
      </c>
      <c r="G340" s="62" t="str">
        <f t="shared" ca="1" si="20"/>
        <v>Concluído</v>
      </c>
      <c r="H340" s="104"/>
      <c r="I340" s="65">
        <v>1</v>
      </c>
      <c r="J340" s="53">
        <f t="shared" si="19"/>
        <v>120</v>
      </c>
      <c r="K340" s="107">
        <v>45901</v>
      </c>
      <c r="L340" s="108">
        <v>46021</v>
      </c>
      <c r="M340" s="68">
        <f t="shared" si="21"/>
        <v>121</v>
      </c>
      <c r="N340" s="69">
        <f>IFERROR(INDEX(Tabela3[ID_Responsavel], MATCH(O340,Tabela3[[Responsáveis ]], 0)), "Não encontrado")</f>
        <v>5</v>
      </c>
      <c r="O340" s="58" t="s">
        <v>167</v>
      </c>
      <c r="P340" s="59" t="s">
        <v>281</v>
      </c>
      <c r="Q340" s="60"/>
    </row>
    <row r="341" spans="1:17" ht="15" hidden="1" customHeight="1">
      <c r="A341" s="117">
        <f>IFERROR(INDEX(Tabela2[ID_Area], MATCH(B341,Tabela2[Area], 0)), "Não encontrado")</f>
        <v>1000</v>
      </c>
      <c r="B341" s="47" t="s">
        <v>54</v>
      </c>
      <c r="C341" s="48" t="s">
        <v>62</v>
      </c>
      <c r="D341" s="62">
        <f>IFERROR(INDEX(Metas!$D$2:$D$104, MATCH(E341,Metas!$E$2:$E$104, 0)), "Não encontrado")</f>
        <v>192</v>
      </c>
      <c r="E341" s="103" t="s">
        <v>169</v>
      </c>
      <c r="F341" s="103" t="s">
        <v>629</v>
      </c>
      <c r="G341" s="62" t="str">
        <f t="shared" ca="1" si="20"/>
        <v>Concluído</v>
      </c>
      <c r="H341" s="104"/>
      <c r="I341" s="65">
        <v>1</v>
      </c>
      <c r="J341" s="53">
        <f t="shared" si="19"/>
        <v>120</v>
      </c>
      <c r="K341" s="107">
        <v>45895</v>
      </c>
      <c r="L341" s="108">
        <v>46001</v>
      </c>
      <c r="M341" s="68">
        <f t="shared" si="21"/>
        <v>107</v>
      </c>
      <c r="N341" s="69">
        <f>IFERROR(INDEX(Tabela3[ID_Responsavel], MATCH(O341,Tabela3[[Responsáveis ]], 0)), "Não encontrado")</f>
        <v>5</v>
      </c>
      <c r="O341" s="58" t="s">
        <v>167</v>
      </c>
      <c r="P341" s="59" t="s">
        <v>281</v>
      </c>
      <c r="Q341" s="60"/>
    </row>
    <row r="342" spans="1:17" ht="15" hidden="1" customHeight="1">
      <c r="A342" s="113">
        <f>IFERROR(INDEX(Tabela2[ID_Area], MATCH(B342,Tabela2[Area], 0)), "Não encontrado")</f>
        <v>1000</v>
      </c>
      <c r="B342" s="47" t="s">
        <v>54</v>
      </c>
      <c r="C342" s="48" t="s">
        <v>62</v>
      </c>
      <c r="D342" s="62">
        <f>IFERROR(INDEX(Metas!$D$2:$D$104, MATCH(E342,Metas!$E$2:$E$104, 0)), "Não encontrado")</f>
        <v>193</v>
      </c>
      <c r="E342" s="103" t="s">
        <v>170</v>
      </c>
      <c r="F342" s="103" t="s">
        <v>629</v>
      </c>
      <c r="G342" s="62" t="str">
        <f t="shared" ca="1" si="20"/>
        <v>Concluído</v>
      </c>
      <c r="H342" s="104"/>
      <c r="I342" s="65">
        <v>1</v>
      </c>
      <c r="J342" s="53">
        <f t="shared" si="19"/>
        <v>120</v>
      </c>
      <c r="K342" s="107">
        <v>45940</v>
      </c>
      <c r="L342" s="108">
        <v>46055</v>
      </c>
      <c r="M342" s="68">
        <f t="shared" si="21"/>
        <v>116</v>
      </c>
      <c r="N342" s="69">
        <f>IFERROR(INDEX(Tabela3[ID_Responsavel], MATCH(O342,Tabela3[[Responsáveis ]], 0)), "Não encontrado")</f>
        <v>5</v>
      </c>
      <c r="O342" s="58" t="s">
        <v>167</v>
      </c>
      <c r="P342" s="59" t="s">
        <v>281</v>
      </c>
      <c r="Q342" s="60"/>
    </row>
    <row r="343" spans="1:17" ht="15" hidden="1" customHeight="1">
      <c r="A343" s="117">
        <f>IFERROR(INDEX(Tabela2[ID_Area], MATCH(B343,Tabela2[Area], 0)), "Não encontrado")</f>
        <v>1001</v>
      </c>
      <c r="B343" s="47" t="s">
        <v>66</v>
      </c>
      <c r="C343" s="48" t="s">
        <v>55</v>
      </c>
      <c r="D343" s="62">
        <f>IFERROR(INDEX(Metas!$D$2:$D$104, MATCH(E343,Metas!$E$2:$E$104, 0)), "Não encontrado")</f>
        <v>153</v>
      </c>
      <c r="E343" s="103" t="s">
        <v>110</v>
      </c>
      <c r="F343" s="103" t="s">
        <v>630</v>
      </c>
      <c r="G343" s="62" t="str">
        <f t="shared" ref="G343:G374" ca="1" si="22">IF(I343=0,"Não iniciado",IF(I343=1,"Concluído",IF(TODAY()&gt;L343,"Atrasado","Em Andamento")))</f>
        <v>Concluído</v>
      </c>
      <c r="H343" s="156">
        <v>45715</v>
      </c>
      <c r="I343" s="109">
        <v>1</v>
      </c>
      <c r="J343" s="53">
        <f t="shared" si="19"/>
        <v>18.514285714285712</v>
      </c>
      <c r="K343" s="107">
        <v>45689</v>
      </c>
      <c r="L343" s="108">
        <v>45715</v>
      </c>
      <c r="M343" s="68">
        <f t="shared" si="21"/>
        <v>27</v>
      </c>
      <c r="N343" s="69">
        <f>IFERROR(INDEX(Tabela3[ID_Responsavel], MATCH(O343,Tabela3[[Responsáveis ]], 0)), "Não encontrado")</f>
        <v>26</v>
      </c>
      <c r="O343" s="58" t="s">
        <v>101</v>
      </c>
      <c r="P343" s="59" t="s">
        <v>281</v>
      </c>
      <c r="Q343" s="110"/>
    </row>
    <row r="344" spans="1:17" ht="15" hidden="1" customHeight="1">
      <c r="A344" s="113">
        <f>IFERROR(INDEX(Tabela2[ID_Area], MATCH(B344,Tabela2[Area], 0)), "Não encontrado")</f>
        <v>1001</v>
      </c>
      <c r="B344" s="47" t="s">
        <v>66</v>
      </c>
      <c r="C344" s="48" t="s">
        <v>55</v>
      </c>
      <c r="D344" s="62">
        <f>IFERROR(INDEX(Metas!$D$2:$D$104, MATCH(E344,Metas!$E$2:$E$104, 0)), "Não encontrado")</f>
        <v>153</v>
      </c>
      <c r="E344" s="103" t="s">
        <v>110</v>
      </c>
      <c r="F344" s="103" t="s">
        <v>631</v>
      </c>
      <c r="G344" s="62" t="str">
        <f t="shared" ca="1" si="22"/>
        <v>Concluído</v>
      </c>
      <c r="H344" s="156">
        <v>45731</v>
      </c>
      <c r="I344" s="109">
        <v>1</v>
      </c>
      <c r="J344" s="53">
        <f t="shared" si="19"/>
        <v>11.657142857142857</v>
      </c>
      <c r="K344" s="107">
        <v>45715</v>
      </c>
      <c r="L344" s="108">
        <v>45731</v>
      </c>
      <c r="M344" s="68">
        <f t="shared" si="21"/>
        <v>17</v>
      </c>
      <c r="N344" s="69">
        <f>IFERROR(INDEX(Tabela3[ID_Responsavel], MATCH(O344,Tabela3[[Responsáveis ]], 0)), "Não encontrado")</f>
        <v>26</v>
      </c>
      <c r="O344" s="58" t="s">
        <v>101</v>
      </c>
      <c r="P344" s="59" t="s">
        <v>281</v>
      </c>
      <c r="Q344" s="110"/>
    </row>
    <row r="345" spans="1:17" ht="15" hidden="1" customHeight="1">
      <c r="A345" s="117">
        <f>IFERROR(INDEX(Tabela2[ID_Area], MATCH(B345,Tabela2[Area], 0)), "Não encontrado")</f>
        <v>1001</v>
      </c>
      <c r="B345" s="47" t="s">
        <v>66</v>
      </c>
      <c r="C345" s="48" t="s">
        <v>55</v>
      </c>
      <c r="D345" s="62">
        <f>IFERROR(INDEX(Metas!$D$2:$D$104, MATCH(E345,Metas!$E$2:$E$104, 0)), "Não encontrado")</f>
        <v>153</v>
      </c>
      <c r="E345" s="103" t="s">
        <v>110</v>
      </c>
      <c r="F345" s="103" t="s">
        <v>632</v>
      </c>
      <c r="G345" s="62" t="str">
        <f t="shared" ca="1" si="22"/>
        <v>Concluído</v>
      </c>
      <c r="H345" s="156">
        <v>45763</v>
      </c>
      <c r="I345" s="109">
        <v>1</v>
      </c>
      <c r="J345" s="53">
        <f t="shared" si="19"/>
        <v>11.657142857142857</v>
      </c>
      <c r="K345" s="107">
        <v>45731</v>
      </c>
      <c r="L345" s="108">
        <v>45747</v>
      </c>
      <c r="M345" s="68">
        <f t="shared" si="21"/>
        <v>17</v>
      </c>
      <c r="N345" s="69">
        <f>IFERROR(INDEX(Tabela3[ID_Responsavel], MATCH(O345,Tabela3[[Responsáveis ]], 0)), "Não encontrado")</f>
        <v>26</v>
      </c>
      <c r="O345" s="58" t="s">
        <v>101</v>
      </c>
      <c r="P345" s="59" t="s">
        <v>281</v>
      </c>
      <c r="Q345" s="110"/>
    </row>
    <row r="346" spans="1:17" ht="15" hidden="1" customHeight="1">
      <c r="A346" s="113">
        <f>IFERROR(INDEX(Tabela2[ID_Area], MATCH(B346,Tabela2[Area], 0)), "Não encontrado")</f>
        <v>1001</v>
      </c>
      <c r="B346" s="47" t="s">
        <v>66</v>
      </c>
      <c r="C346" s="48" t="s">
        <v>55</v>
      </c>
      <c r="D346" s="62">
        <f>IFERROR(INDEX(Metas!$D$2:$D$104, MATCH(E346,Metas!$E$2:$E$104, 0)), "Não encontrado")</f>
        <v>153</v>
      </c>
      <c r="E346" s="103" t="s">
        <v>110</v>
      </c>
      <c r="F346" s="103" t="s">
        <v>633</v>
      </c>
      <c r="G346" s="62" t="str">
        <f t="shared" ca="1" si="22"/>
        <v>Concluído</v>
      </c>
      <c r="H346" s="156">
        <v>45909</v>
      </c>
      <c r="I346" s="109">
        <v>1</v>
      </c>
      <c r="J346" s="53">
        <f t="shared" si="19"/>
        <v>4.8</v>
      </c>
      <c r="K346" s="107">
        <v>45899</v>
      </c>
      <c r="L346" s="108">
        <v>45905</v>
      </c>
      <c r="M346" s="68">
        <f t="shared" si="21"/>
        <v>7</v>
      </c>
      <c r="N346" s="69">
        <f>IFERROR(INDEX(Tabela3[ID_Responsavel], MATCH(O346,Tabela3[[Responsáveis ]], 0)), "Não encontrado")</f>
        <v>26</v>
      </c>
      <c r="O346" s="58" t="s">
        <v>101</v>
      </c>
      <c r="P346" s="59" t="s">
        <v>281</v>
      </c>
      <c r="Q346" s="110"/>
    </row>
    <row r="347" spans="1:17" ht="15" hidden="1" customHeight="1">
      <c r="A347" s="117">
        <f>IFERROR(INDEX(Tabela2[ID_Area], MATCH(B347,Tabela2[Area], 0)), "Não encontrado")</f>
        <v>1001</v>
      </c>
      <c r="B347" s="47" t="s">
        <v>66</v>
      </c>
      <c r="C347" s="48" t="s">
        <v>55</v>
      </c>
      <c r="D347" s="62">
        <f>IFERROR(INDEX(Metas!$D$2:$D$104, MATCH(E347,Metas!$E$2:$E$104, 0)), "Não encontrado")</f>
        <v>153</v>
      </c>
      <c r="E347" s="103" t="s">
        <v>110</v>
      </c>
      <c r="F347" s="103" t="s">
        <v>634</v>
      </c>
      <c r="G347" s="62" t="str">
        <f t="shared" ca="1" si="22"/>
        <v>Concluído</v>
      </c>
      <c r="H347" s="156">
        <v>45916</v>
      </c>
      <c r="I347" s="109">
        <v>1</v>
      </c>
      <c r="J347" s="53">
        <f t="shared" si="19"/>
        <v>24.685714285714287</v>
      </c>
      <c r="K347" s="107">
        <v>45870</v>
      </c>
      <c r="L347" s="108">
        <v>45905</v>
      </c>
      <c r="M347" s="68">
        <f t="shared" si="21"/>
        <v>36</v>
      </c>
      <c r="N347" s="69">
        <f>IFERROR(INDEX(Tabela3[ID_Responsavel], MATCH(O347,Tabela3[[Responsáveis ]], 0)), "Não encontrado")</f>
        <v>26</v>
      </c>
      <c r="O347" s="58" t="s">
        <v>101</v>
      </c>
      <c r="P347" s="59" t="s">
        <v>281</v>
      </c>
      <c r="Q347" s="110"/>
    </row>
    <row r="348" spans="1:17" ht="15" hidden="1" customHeight="1">
      <c r="A348" s="113">
        <f>IFERROR(INDEX(Tabela2[ID_Area], MATCH(B348,Tabela2[Area], 0)), "Não encontrado")</f>
        <v>1001</v>
      </c>
      <c r="B348" s="47" t="s">
        <v>66</v>
      </c>
      <c r="C348" s="48" t="s">
        <v>55</v>
      </c>
      <c r="D348" s="62">
        <f>IFERROR(INDEX(Metas!$D$2:$D$104, MATCH(E348,Metas!$E$2:$E$104, 0)), "Não encontrado")</f>
        <v>153</v>
      </c>
      <c r="E348" s="103" t="s">
        <v>110</v>
      </c>
      <c r="F348" s="103" t="s">
        <v>635</v>
      </c>
      <c r="G348" s="62" t="str">
        <f t="shared" ca="1" si="22"/>
        <v>Concluído</v>
      </c>
      <c r="H348" s="156">
        <v>45925</v>
      </c>
      <c r="I348" s="109">
        <v>1</v>
      </c>
      <c r="J348" s="53">
        <f t="shared" si="19"/>
        <v>10.285714285714286</v>
      </c>
      <c r="K348" s="107">
        <v>45905</v>
      </c>
      <c r="L348" s="108">
        <v>45919</v>
      </c>
      <c r="M348" s="68">
        <f t="shared" si="21"/>
        <v>15</v>
      </c>
      <c r="N348" s="69">
        <f>IFERROR(INDEX(Tabela3[ID_Responsavel], MATCH(O348,Tabela3[[Responsáveis ]], 0)), "Não encontrado")</f>
        <v>26</v>
      </c>
      <c r="O348" s="58" t="s">
        <v>101</v>
      </c>
      <c r="P348" s="59" t="s">
        <v>281</v>
      </c>
      <c r="Q348" s="110"/>
    </row>
    <row r="349" spans="1:17" ht="15" hidden="1" customHeight="1">
      <c r="A349" s="117">
        <f>IFERROR(INDEX(Tabela2[ID_Area], MATCH(B349,Tabela2[Area], 0)), "Não encontrado")</f>
        <v>1001</v>
      </c>
      <c r="B349" s="47" t="s">
        <v>66</v>
      </c>
      <c r="C349" s="48" t="s">
        <v>55</v>
      </c>
      <c r="D349" s="62">
        <f>IFERROR(INDEX(Metas!$D$2:$D$104, MATCH(E349,Metas!$E$2:$E$104, 0)), "Não encontrado")</f>
        <v>153</v>
      </c>
      <c r="E349" s="103" t="s">
        <v>110</v>
      </c>
      <c r="F349" s="103" t="s">
        <v>636</v>
      </c>
      <c r="G349" s="62" t="str">
        <f t="shared" ca="1" si="22"/>
        <v>Concluído</v>
      </c>
      <c r="H349" s="156">
        <v>45924</v>
      </c>
      <c r="I349" s="109">
        <v>1</v>
      </c>
      <c r="J349" s="53">
        <f t="shared" si="19"/>
        <v>5.4857142857142858</v>
      </c>
      <c r="K349" s="107">
        <v>45919</v>
      </c>
      <c r="L349" s="108">
        <v>45926</v>
      </c>
      <c r="M349" s="68">
        <f t="shared" si="21"/>
        <v>8</v>
      </c>
      <c r="N349" s="69">
        <f>IFERROR(INDEX(Tabela3[ID_Responsavel], MATCH(O349,Tabela3[[Responsáveis ]], 0)), "Não encontrado")</f>
        <v>26</v>
      </c>
      <c r="O349" s="58" t="s">
        <v>101</v>
      </c>
      <c r="P349" s="59" t="s">
        <v>281</v>
      </c>
      <c r="Q349" s="110"/>
    </row>
    <row r="350" spans="1:17" ht="15" hidden="1" customHeight="1">
      <c r="A350" s="113">
        <f>IFERROR(INDEX(Tabela2[ID_Area], MATCH(B350,Tabela2[Area], 0)), "Não encontrado")</f>
        <v>1001</v>
      </c>
      <c r="B350" s="47" t="s">
        <v>66</v>
      </c>
      <c r="C350" s="48" t="s">
        <v>55</v>
      </c>
      <c r="D350" s="62">
        <f>IFERROR(INDEX(Metas!$D$2:$D$104, MATCH(E350,Metas!$E$2:$E$104, 0)), "Não encontrado")</f>
        <v>153</v>
      </c>
      <c r="E350" s="103" t="s">
        <v>110</v>
      </c>
      <c r="F350" s="103" t="s">
        <v>637</v>
      </c>
      <c r="G350" s="62" t="str">
        <f t="shared" ca="1" si="22"/>
        <v>Não iniciado</v>
      </c>
      <c r="H350" s="104"/>
      <c r="I350" s="109"/>
      <c r="J350" s="53">
        <f t="shared" si="19"/>
        <v>4.8</v>
      </c>
      <c r="K350" s="107">
        <v>45975</v>
      </c>
      <c r="L350" s="108">
        <v>45981</v>
      </c>
      <c r="M350" s="68">
        <f t="shared" si="21"/>
        <v>7</v>
      </c>
      <c r="N350" s="69">
        <f>IFERROR(INDEX(Tabela3[ID_Responsavel], MATCH(O350,Tabela3[[Responsáveis ]], 0)), "Não encontrado")</f>
        <v>26</v>
      </c>
      <c r="O350" s="58" t="s">
        <v>101</v>
      </c>
      <c r="P350" s="59" t="s">
        <v>281</v>
      </c>
      <c r="Q350" s="110" t="s">
        <v>638</v>
      </c>
    </row>
    <row r="351" spans="1:17" ht="15" hidden="1" customHeight="1">
      <c r="A351" s="117">
        <f>IFERROR(INDEX(Tabela2[ID_Area], MATCH(B351,Tabela2[Area], 0)), "Não encontrado")</f>
        <v>1001</v>
      </c>
      <c r="B351" s="47" t="s">
        <v>66</v>
      </c>
      <c r="C351" s="48" t="s">
        <v>55</v>
      </c>
      <c r="D351" s="62">
        <f>IFERROR(INDEX(Metas!$D$2:$D$104, MATCH(E351,Metas!$E$2:$E$104, 0)), "Não encontrado")</f>
        <v>153</v>
      </c>
      <c r="E351" s="103" t="s">
        <v>110</v>
      </c>
      <c r="F351" s="103" t="s">
        <v>639</v>
      </c>
      <c r="G351" s="62" t="str">
        <f t="shared" ca="1" si="22"/>
        <v>Concluído</v>
      </c>
      <c r="H351" s="156">
        <v>45992</v>
      </c>
      <c r="I351" s="109">
        <v>1</v>
      </c>
      <c r="J351" s="53">
        <f t="shared" si="19"/>
        <v>28.114285714285714</v>
      </c>
      <c r="K351" s="107">
        <v>45981</v>
      </c>
      <c r="L351" s="108">
        <v>46021</v>
      </c>
      <c r="M351" s="68">
        <f t="shared" si="21"/>
        <v>41</v>
      </c>
      <c r="N351" s="69">
        <f>IFERROR(INDEX(Tabela3[ID_Responsavel], MATCH(O351,Tabela3[[Responsáveis ]], 0)), "Não encontrado")</f>
        <v>26</v>
      </c>
      <c r="O351" s="58" t="s">
        <v>101</v>
      </c>
      <c r="P351" s="59" t="s">
        <v>281</v>
      </c>
      <c r="Q351" s="110"/>
    </row>
    <row r="352" spans="1:17" ht="15" hidden="1" customHeight="1">
      <c r="A352" s="113">
        <f>IFERROR(INDEX(Tabela2[ID_Area], MATCH(B352,Tabela2[Area], 0)), "Não encontrado")</f>
        <v>1001</v>
      </c>
      <c r="B352" s="47" t="s">
        <v>66</v>
      </c>
      <c r="C352" s="48" t="s">
        <v>55</v>
      </c>
      <c r="D352" s="62">
        <f>IFERROR(INDEX(Metas!$D$2:$D$104, MATCH(E352,Metas!$E$2:$E$104, 0)), "Não encontrado")</f>
        <v>194</v>
      </c>
      <c r="E352" s="103" t="s">
        <v>171</v>
      </c>
      <c r="F352" s="103" t="s">
        <v>272</v>
      </c>
      <c r="G352" s="62" t="str">
        <f t="shared" ca="1" si="22"/>
        <v>Concluído</v>
      </c>
      <c r="H352" s="156">
        <v>45761</v>
      </c>
      <c r="I352" s="109">
        <v>1</v>
      </c>
      <c r="J352" s="53">
        <f t="shared" si="19"/>
        <v>34.723404255319146</v>
      </c>
      <c r="K352" s="107">
        <v>45659</v>
      </c>
      <c r="L352" s="108">
        <v>45930</v>
      </c>
      <c r="M352" s="68">
        <f t="shared" si="21"/>
        <v>272</v>
      </c>
      <c r="N352" s="69">
        <f>IFERROR(INDEX(Tabela3[ID_Responsavel], MATCH(O352,Tabela3[[Responsáveis ]], 0)), "Não encontrado")</f>
        <v>10</v>
      </c>
      <c r="O352" s="58" t="s">
        <v>115</v>
      </c>
      <c r="P352" s="59" t="s">
        <v>281</v>
      </c>
      <c r="Q352" s="100" t="s">
        <v>277</v>
      </c>
    </row>
    <row r="353" spans="1:17" ht="15" hidden="1" customHeight="1">
      <c r="A353" s="117">
        <f>IFERROR(INDEX(Tabela2[ID_Area], MATCH(B353,Tabela2[Area], 0)), "Não encontrado")</f>
        <v>1001</v>
      </c>
      <c r="B353" s="47" t="s">
        <v>66</v>
      </c>
      <c r="C353" s="48" t="s">
        <v>55</v>
      </c>
      <c r="D353" s="62">
        <f>IFERROR(INDEX(Metas!$D$2:$D$104, MATCH(E353,Metas!$E$2:$E$104, 0)), "Não encontrado")</f>
        <v>194</v>
      </c>
      <c r="E353" s="103" t="s">
        <v>171</v>
      </c>
      <c r="F353" s="103" t="s">
        <v>274</v>
      </c>
      <c r="G353" s="62" t="str">
        <f t="shared" ca="1" si="22"/>
        <v>Concluído</v>
      </c>
      <c r="H353" s="156">
        <v>45761</v>
      </c>
      <c r="I353" s="109">
        <v>1</v>
      </c>
      <c r="J353" s="53">
        <f t="shared" si="19"/>
        <v>34.723404255319146</v>
      </c>
      <c r="K353" s="107">
        <v>45659</v>
      </c>
      <c r="L353" s="108">
        <v>45930</v>
      </c>
      <c r="M353" s="68">
        <f t="shared" si="21"/>
        <v>272</v>
      </c>
      <c r="N353" s="69">
        <f>IFERROR(INDEX(Tabela3[ID_Responsavel], MATCH(O353,Tabela3[[Responsáveis ]], 0)), "Não encontrado")</f>
        <v>10</v>
      </c>
      <c r="O353" s="58" t="s">
        <v>115</v>
      </c>
      <c r="P353" s="59" t="s">
        <v>281</v>
      </c>
      <c r="Q353" s="60" t="s">
        <v>640</v>
      </c>
    </row>
    <row r="354" spans="1:17" ht="15" hidden="1" customHeight="1">
      <c r="A354" s="113">
        <f>IFERROR(INDEX(Tabela2[ID_Area], MATCH(B354,Tabela2[Area], 0)), "Não encontrado")</f>
        <v>1001</v>
      </c>
      <c r="B354" s="47" t="s">
        <v>66</v>
      </c>
      <c r="C354" s="48" t="s">
        <v>55</v>
      </c>
      <c r="D354" s="62">
        <f>IFERROR(INDEX(Metas!$D$2:$D$104, MATCH(E354,Metas!$E$2:$E$104, 0)), "Não encontrado")</f>
        <v>194</v>
      </c>
      <c r="E354" s="103" t="s">
        <v>171</v>
      </c>
      <c r="F354" s="103" t="s">
        <v>278</v>
      </c>
      <c r="G354" s="62" t="str">
        <f t="shared" ca="1" si="22"/>
        <v>Concluído</v>
      </c>
      <c r="H354" s="156">
        <v>45782</v>
      </c>
      <c r="I354" s="109">
        <v>1</v>
      </c>
      <c r="J354" s="53">
        <f t="shared" si="19"/>
        <v>27.191489361702128</v>
      </c>
      <c r="K354" s="107">
        <v>45749</v>
      </c>
      <c r="L354" s="108">
        <v>45961</v>
      </c>
      <c r="M354" s="68">
        <f t="shared" si="21"/>
        <v>213</v>
      </c>
      <c r="N354" s="69">
        <f>IFERROR(INDEX(Tabela3[ID_Responsavel], MATCH(O354,Tabela3[[Responsáveis ]], 0)), "Não encontrado")</f>
        <v>10</v>
      </c>
      <c r="O354" s="58" t="s">
        <v>115</v>
      </c>
      <c r="P354" s="59" t="s">
        <v>281</v>
      </c>
      <c r="Q354" s="60" t="s">
        <v>641</v>
      </c>
    </row>
    <row r="355" spans="1:17" ht="15" hidden="1" customHeight="1">
      <c r="A355" s="117">
        <f>IFERROR(INDEX(Tabela2[ID_Area], MATCH(B355,Tabela2[Area], 0)), "Não encontrado")</f>
        <v>1001</v>
      </c>
      <c r="B355" s="47" t="s">
        <v>66</v>
      </c>
      <c r="C355" s="48" t="s">
        <v>55</v>
      </c>
      <c r="D355" s="62">
        <f>IFERROR(INDEX(Metas!$D$2:$D$104, MATCH(E355,Metas!$E$2:$E$104, 0)), "Não encontrado")</f>
        <v>194</v>
      </c>
      <c r="E355" s="103" t="s">
        <v>171</v>
      </c>
      <c r="F355" s="103" t="s">
        <v>279</v>
      </c>
      <c r="G355" s="62" t="str">
        <f t="shared" ca="1" si="22"/>
        <v>Concluído</v>
      </c>
      <c r="H355" s="156">
        <v>45883</v>
      </c>
      <c r="I355" s="109">
        <v>1</v>
      </c>
      <c r="J355" s="53">
        <f t="shared" si="19"/>
        <v>23.361702127659576</v>
      </c>
      <c r="K355" s="107">
        <v>45839</v>
      </c>
      <c r="L355" s="108">
        <v>46021</v>
      </c>
      <c r="M355" s="68">
        <f t="shared" si="21"/>
        <v>183</v>
      </c>
      <c r="N355" s="69">
        <f>IFERROR(INDEX(Tabela3[ID_Responsavel], MATCH(O355,Tabela3[[Responsáveis ]], 0)), "Não encontrado")</f>
        <v>10</v>
      </c>
      <c r="O355" s="58" t="s">
        <v>115</v>
      </c>
      <c r="P355" s="59" t="s">
        <v>281</v>
      </c>
      <c r="Q355" s="60" t="s">
        <v>642</v>
      </c>
    </row>
    <row r="356" spans="1:17" ht="15" hidden="1" customHeight="1">
      <c r="A356" s="113">
        <f>IFERROR(INDEX(Tabela2[ID_Area], MATCH(B356,Tabela2[Area], 0)), "Não encontrado")</f>
        <v>1004</v>
      </c>
      <c r="B356" s="111" t="s">
        <v>15</v>
      </c>
      <c r="C356" s="103" t="s">
        <v>16</v>
      </c>
      <c r="D356" s="114">
        <f>IFERROR(INDEX(Metas!$D$2:$D$104, MATCH(E356,Metas!$E$2:$E$104, 0)), "Não encontrado")</f>
        <v>200</v>
      </c>
      <c r="E356" s="103" t="s">
        <v>183</v>
      </c>
      <c r="F356" s="103" t="s">
        <v>643</v>
      </c>
      <c r="G356" s="62" t="str">
        <f t="shared" ca="1" si="22"/>
        <v>Concluído</v>
      </c>
      <c r="H356" s="156">
        <v>45910</v>
      </c>
      <c r="I356" s="109">
        <v>1</v>
      </c>
      <c r="J356" s="53">
        <f t="shared" si="19"/>
        <v>7.024390243902439</v>
      </c>
      <c r="K356" s="108">
        <v>45901</v>
      </c>
      <c r="L356" s="108">
        <v>45912</v>
      </c>
      <c r="M356" s="68">
        <f t="shared" si="21"/>
        <v>12</v>
      </c>
      <c r="N356" s="112">
        <f>IFERROR(INDEX(Tabela3[ID_Responsavel], MATCH(O356,Tabela3[[Responsáveis ]], 0)), "Não encontrado")</f>
        <v>27</v>
      </c>
      <c r="O356" s="119" t="s">
        <v>174</v>
      </c>
      <c r="P356" s="103" t="s">
        <v>31</v>
      </c>
      <c r="Q356" s="23"/>
    </row>
    <row r="357" spans="1:17" ht="15" hidden="1" customHeight="1">
      <c r="A357" s="117">
        <f>IFERROR(INDEX(Tabela2[ID_Area], MATCH(B357,Tabela2[Area], 0)), "Não encontrado")</f>
        <v>1004</v>
      </c>
      <c r="B357" s="111" t="s">
        <v>15</v>
      </c>
      <c r="C357" s="103" t="s">
        <v>16</v>
      </c>
      <c r="D357" s="114">
        <f>IFERROR(INDEX(Metas!$D$2:$D$104, MATCH(E357,Metas!$E$2:$E$104, 0)), "Não encontrado")</f>
        <v>200</v>
      </c>
      <c r="E357" s="103" t="s">
        <v>183</v>
      </c>
      <c r="F357" s="103" t="s">
        <v>644</v>
      </c>
      <c r="G357" s="62" t="str">
        <f t="shared" ca="1" si="22"/>
        <v>Concluído</v>
      </c>
      <c r="H357" s="156">
        <v>45923</v>
      </c>
      <c r="I357" s="109">
        <v>1</v>
      </c>
      <c r="J357" s="53">
        <f t="shared" si="19"/>
        <v>5.8536585365853657</v>
      </c>
      <c r="K357" s="108">
        <v>45915</v>
      </c>
      <c r="L357" s="108">
        <v>45924</v>
      </c>
      <c r="M357" s="68">
        <f t="shared" si="21"/>
        <v>10</v>
      </c>
      <c r="N357" s="112">
        <f>IFERROR(INDEX(Tabela3[ID_Responsavel], MATCH(O357,Tabela3[[Responsáveis ]], 0)), "Não encontrado")</f>
        <v>27</v>
      </c>
      <c r="O357" s="119" t="s">
        <v>174</v>
      </c>
      <c r="P357" s="103" t="s">
        <v>31</v>
      </c>
      <c r="Q357" s="23"/>
    </row>
    <row r="358" spans="1:17" ht="15" hidden="1" customHeight="1">
      <c r="A358" s="113">
        <f>IFERROR(INDEX(Tabela2[ID_Area], MATCH(B358,Tabela2[Area], 0)), "Não encontrado")</f>
        <v>1004</v>
      </c>
      <c r="B358" s="111" t="s">
        <v>15</v>
      </c>
      <c r="C358" s="103" t="s">
        <v>16</v>
      </c>
      <c r="D358" s="114">
        <f>IFERROR(INDEX(Metas!$D$2:$D$104, MATCH(E358,Metas!$E$2:$E$104, 0)), "Não encontrado")</f>
        <v>200</v>
      </c>
      <c r="E358" s="103" t="s">
        <v>183</v>
      </c>
      <c r="F358" s="103" t="s">
        <v>645</v>
      </c>
      <c r="G358" s="62" t="str">
        <f t="shared" ca="1" si="22"/>
        <v>Concluído</v>
      </c>
      <c r="H358" s="156">
        <v>45923</v>
      </c>
      <c r="I358" s="109">
        <v>1</v>
      </c>
      <c r="J358" s="53">
        <f t="shared" si="19"/>
        <v>8.7804878048780477</v>
      </c>
      <c r="K358" s="108">
        <v>45925</v>
      </c>
      <c r="L358" s="108">
        <v>45939</v>
      </c>
      <c r="M358" s="68">
        <f t="shared" si="21"/>
        <v>15</v>
      </c>
      <c r="N358" s="112">
        <f>IFERROR(INDEX(Tabela3[ID_Responsavel], MATCH(O358,Tabela3[[Responsáveis ]], 0)), "Não encontrado")</f>
        <v>27</v>
      </c>
      <c r="O358" s="119" t="s">
        <v>174</v>
      </c>
      <c r="P358" s="103" t="s">
        <v>31</v>
      </c>
      <c r="Q358" s="23"/>
    </row>
    <row r="359" spans="1:17" ht="15" hidden="1" customHeight="1">
      <c r="A359" s="117">
        <f>IFERROR(INDEX(Tabela2[ID_Area], MATCH(B359,Tabela2[Area], 0)), "Não encontrado")</f>
        <v>1004</v>
      </c>
      <c r="B359" s="111" t="s">
        <v>15</v>
      </c>
      <c r="C359" s="103" t="s">
        <v>16</v>
      </c>
      <c r="D359" s="114">
        <f>IFERROR(INDEX(Metas!$D$2:$D$104, MATCH(E359,Metas!$E$2:$E$104, 0)), "Não encontrado")</f>
        <v>200</v>
      </c>
      <c r="E359" s="103" t="s">
        <v>183</v>
      </c>
      <c r="F359" s="103" t="s">
        <v>646</v>
      </c>
      <c r="G359" s="62" t="str">
        <f t="shared" ca="1" si="22"/>
        <v>Concluído</v>
      </c>
      <c r="H359" s="156">
        <v>45988</v>
      </c>
      <c r="I359" s="109">
        <v>1</v>
      </c>
      <c r="J359" s="53">
        <f t="shared" si="19"/>
        <v>18.73170731707317</v>
      </c>
      <c r="K359" s="108">
        <v>45940</v>
      </c>
      <c r="L359" s="108">
        <v>45971</v>
      </c>
      <c r="M359" s="68">
        <f t="shared" si="21"/>
        <v>32</v>
      </c>
      <c r="N359" s="112">
        <f>IFERROR(INDEX(Tabela3[ID_Responsavel], MATCH(O359,Tabela3[[Responsáveis ]], 0)), "Não encontrado")</f>
        <v>27</v>
      </c>
      <c r="O359" s="119" t="s">
        <v>174</v>
      </c>
      <c r="P359" s="103" t="s">
        <v>31</v>
      </c>
      <c r="Q359" s="23"/>
    </row>
    <row r="360" spans="1:17" ht="15" hidden="1" customHeight="1">
      <c r="A360" s="113">
        <f>IFERROR(INDEX(Tabela2[ID_Area], MATCH(B360,Tabela2[Area], 0)), "Não encontrado")</f>
        <v>1004</v>
      </c>
      <c r="B360" s="111" t="s">
        <v>15</v>
      </c>
      <c r="C360" s="103" t="s">
        <v>16</v>
      </c>
      <c r="D360" s="114">
        <f>IFERROR(INDEX(Metas!$D$2:$D$104, MATCH(E360,Metas!$E$2:$E$104, 0)), "Não encontrado")</f>
        <v>200</v>
      </c>
      <c r="E360" s="103" t="s">
        <v>183</v>
      </c>
      <c r="F360" s="103" t="s">
        <v>647</v>
      </c>
      <c r="G360" s="62" t="str">
        <f t="shared" ca="1" si="22"/>
        <v>Concluído</v>
      </c>
      <c r="H360" s="156">
        <v>45988</v>
      </c>
      <c r="I360" s="109">
        <v>1</v>
      </c>
      <c r="J360" s="53">
        <f t="shared" si="19"/>
        <v>18.73170731707317</v>
      </c>
      <c r="K360" s="108">
        <v>45940</v>
      </c>
      <c r="L360" s="108">
        <v>45971</v>
      </c>
      <c r="M360" s="68">
        <f t="shared" si="21"/>
        <v>32</v>
      </c>
      <c r="N360" s="112">
        <f>IFERROR(INDEX(Tabela3[ID_Responsavel], MATCH(O360,Tabela3[[Responsáveis ]], 0)), "Não encontrado")</f>
        <v>27</v>
      </c>
      <c r="O360" s="119" t="s">
        <v>174</v>
      </c>
      <c r="P360" s="103" t="s">
        <v>31</v>
      </c>
      <c r="Q360" s="23"/>
    </row>
    <row r="361" spans="1:17" ht="15" hidden="1" customHeight="1">
      <c r="A361" s="117">
        <f>IFERROR(INDEX(Tabela2[ID_Area], MATCH(B361,Tabela2[Area], 0)), "Não encontrado")</f>
        <v>1004</v>
      </c>
      <c r="B361" s="111" t="s">
        <v>15</v>
      </c>
      <c r="C361" s="103" t="s">
        <v>16</v>
      </c>
      <c r="D361" s="114">
        <f>IFERROR(INDEX(Metas!$D$2:$D$104, MATCH(E361,Metas!$E$2:$E$104, 0)), "Não encontrado")</f>
        <v>200</v>
      </c>
      <c r="E361" s="103" t="s">
        <v>183</v>
      </c>
      <c r="F361" s="103" t="s">
        <v>648</v>
      </c>
      <c r="G361" s="62" t="str">
        <f t="shared" ca="1" si="22"/>
        <v>Concluído</v>
      </c>
      <c r="H361" s="156">
        <v>46001</v>
      </c>
      <c r="I361" s="109">
        <v>1</v>
      </c>
      <c r="J361" s="53">
        <f t="shared" si="19"/>
        <v>18.73170731707317</v>
      </c>
      <c r="K361" s="108">
        <v>45940</v>
      </c>
      <c r="L361" s="108">
        <v>45971</v>
      </c>
      <c r="M361" s="68">
        <f t="shared" si="21"/>
        <v>32</v>
      </c>
      <c r="N361" s="112">
        <f>IFERROR(INDEX(Tabela3[ID_Responsavel], MATCH(O361,Tabela3[[Responsáveis ]], 0)), "Não encontrado")</f>
        <v>27</v>
      </c>
      <c r="O361" s="119" t="s">
        <v>174</v>
      </c>
      <c r="P361" s="103" t="s">
        <v>31</v>
      </c>
      <c r="Q361" s="23"/>
    </row>
    <row r="362" spans="1:17" ht="15" hidden="1" customHeight="1">
      <c r="A362" s="113">
        <f>IFERROR(INDEX(Tabela2[ID_Area], MATCH(B362,Tabela2[Area], 0)), "Não encontrado")</f>
        <v>1004</v>
      </c>
      <c r="B362" s="111" t="s">
        <v>15</v>
      </c>
      <c r="C362" s="103" t="s">
        <v>16</v>
      </c>
      <c r="D362" s="114">
        <f>IFERROR(INDEX(Metas!$D$2:$D$104, MATCH(E362,Metas!$E$2:$E$104, 0)), "Não encontrado")</f>
        <v>200</v>
      </c>
      <c r="E362" s="103" t="s">
        <v>183</v>
      </c>
      <c r="F362" s="103" t="s">
        <v>649</v>
      </c>
      <c r="G362" s="62" t="str">
        <f t="shared" ca="1" si="22"/>
        <v>Concluído</v>
      </c>
      <c r="H362" s="156">
        <v>46008</v>
      </c>
      <c r="I362" s="109">
        <v>1</v>
      </c>
      <c r="J362" s="53">
        <f t="shared" si="19"/>
        <v>21.073170731707314</v>
      </c>
      <c r="K362" s="108">
        <v>45971</v>
      </c>
      <c r="L362" s="108">
        <v>46006</v>
      </c>
      <c r="M362" s="68">
        <f t="shared" si="21"/>
        <v>36</v>
      </c>
      <c r="N362" s="112">
        <f>IFERROR(INDEX(Tabela3[ID_Responsavel], MATCH(O362,Tabela3[[Responsáveis ]], 0)), "Não encontrado")</f>
        <v>27</v>
      </c>
      <c r="O362" s="119" t="s">
        <v>174</v>
      </c>
      <c r="P362" s="103" t="s">
        <v>31</v>
      </c>
      <c r="Q362" s="23"/>
    </row>
    <row r="363" spans="1:17" ht="15" hidden="1" customHeight="1">
      <c r="A363" s="117">
        <f>IFERROR(INDEX(Tabela2[ID_Area], MATCH(B363,Tabela2[Area], 0)), "Não encontrado")</f>
        <v>1004</v>
      </c>
      <c r="B363" s="111" t="s">
        <v>15</v>
      </c>
      <c r="C363" s="103" t="s">
        <v>16</v>
      </c>
      <c r="D363" s="114">
        <f>IFERROR(INDEX(Metas!$D$2:$D$104, MATCH(E363,Metas!$E$2:$E$104, 0)), "Não encontrado")</f>
        <v>200</v>
      </c>
      <c r="E363" s="103" t="s">
        <v>183</v>
      </c>
      <c r="F363" s="103" t="s">
        <v>650</v>
      </c>
      <c r="G363" s="62" t="str">
        <f t="shared" ca="1" si="22"/>
        <v>Concluído</v>
      </c>
      <c r="H363" s="156">
        <v>46009</v>
      </c>
      <c r="I363" s="109">
        <v>1</v>
      </c>
      <c r="J363" s="53">
        <f t="shared" si="19"/>
        <v>21.073170731707314</v>
      </c>
      <c r="K363" s="108">
        <v>45971</v>
      </c>
      <c r="L363" s="108">
        <v>46006</v>
      </c>
      <c r="M363" s="68">
        <f t="shared" si="21"/>
        <v>36</v>
      </c>
      <c r="N363" s="112">
        <f>IFERROR(INDEX(Tabela3[ID_Responsavel], MATCH(O363,Tabela3[[Responsáveis ]], 0)), "Não encontrado")</f>
        <v>27</v>
      </c>
      <c r="O363" s="119" t="s">
        <v>174</v>
      </c>
      <c r="P363" s="103" t="s">
        <v>31</v>
      </c>
      <c r="Q363" s="23"/>
    </row>
    <row r="364" spans="1:17" ht="15" hidden="1" customHeight="1">
      <c r="A364" s="113">
        <f>IFERROR(INDEX(Tabela2[ID_Area], MATCH(B364,Tabela2[Area], 0)), "Não encontrado")</f>
        <v>1004</v>
      </c>
      <c r="B364" s="111" t="s">
        <v>15</v>
      </c>
      <c r="C364" s="103" t="s">
        <v>175</v>
      </c>
      <c r="D364" s="114">
        <f>IFERROR(INDEX(Metas!$D$2:$D$104, MATCH(E364,Metas!$E$2:$E$104, 0)), "Não encontrado")</f>
        <v>196</v>
      </c>
      <c r="E364" s="103" t="s">
        <v>176</v>
      </c>
      <c r="F364" s="103" t="s">
        <v>651</v>
      </c>
      <c r="G364" s="62" t="str">
        <f t="shared" ca="1" si="22"/>
        <v>Concluído</v>
      </c>
      <c r="H364" s="168">
        <v>45792</v>
      </c>
      <c r="I364" s="109">
        <v>1</v>
      </c>
      <c r="J364" s="53">
        <f t="shared" si="19"/>
        <v>18.345864661654133</v>
      </c>
      <c r="K364" s="108">
        <v>45748</v>
      </c>
      <c r="L364" s="108">
        <v>45808</v>
      </c>
      <c r="M364" s="68">
        <f t="shared" si="21"/>
        <v>61</v>
      </c>
      <c r="N364" s="112">
        <f>IFERROR(INDEX(Tabela3[ID_Responsavel], MATCH(O364,Tabela3[[Responsáveis ]], 0)), "Não encontrado")</f>
        <v>27</v>
      </c>
      <c r="O364" s="119" t="s">
        <v>174</v>
      </c>
      <c r="P364" s="103" t="s">
        <v>31</v>
      </c>
      <c r="Q364" s="23"/>
    </row>
    <row r="365" spans="1:17" ht="15" hidden="1" customHeight="1">
      <c r="A365" s="117">
        <f>IFERROR(INDEX(Tabela2[ID_Area], MATCH(B365,Tabela2[Area], 0)), "Não encontrado")</f>
        <v>1004</v>
      </c>
      <c r="B365" s="111" t="s">
        <v>15</v>
      </c>
      <c r="C365" s="103" t="s">
        <v>175</v>
      </c>
      <c r="D365" s="114">
        <f>IFERROR(INDEX(Metas!$D$2:$D$104, MATCH(E365,Metas!$E$2:$E$104, 0)), "Não encontrado")</f>
        <v>196</v>
      </c>
      <c r="E365" s="103" t="s">
        <v>176</v>
      </c>
      <c r="F365" s="103" t="s">
        <v>652</v>
      </c>
      <c r="G365" s="62" t="str">
        <f t="shared" ca="1" si="22"/>
        <v>Concluído</v>
      </c>
      <c r="H365" s="168">
        <v>45802</v>
      </c>
      <c r="I365" s="109">
        <v>1</v>
      </c>
      <c r="J365" s="53">
        <f t="shared" si="19"/>
        <v>18.345864661654133</v>
      </c>
      <c r="K365" s="108">
        <v>45748</v>
      </c>
      <c r="L365" s="108">
        <v>45808</v>
      </c>
      <c r="M365" s="68">
        <f t="shared" si="21"/>
        <v>61</v>
      </c>
      <c r="N365" s="112">
        <f>IFERROR(INDEX(Tabela3[ID_Responsavel], MATCH(O365,Tabela3[[Responsáveis ]], 0)), "Não encontrado")</f>
        <v>27</v>
      </c>
      <c r="O365" s="119" t="s">
        <v>174</v>
      </c>
      <c r="P365" s="103" t="s">
        <v>31</v>
      </c>
      <c r="Q365" s="23"/>
    </row>
    <row r="366" spans="1:17" ht="15" hidden="1" customHeight="1">
      <c r="A366" s="113">
        <f>IFERROR(INDEX(Tabela2[ID_Area], MATCH(B366,Tabela2[Area], 0)), "Não encontrado")</f>
        <v>1004</v>
      </c>
      <c r="B366" s="111" t="s">
        <v>15</v>
      </c>
      <c r="C366" s="103" t="s">
        <v>175</v>
      </c>
      <c r="D366" s="114">
        <f>IFERROR(INDEX(Metas!$D$2:$D$104, MATCH(E366,Metas!$E$2:$E$104, 0)), "Não encontrado")</f>
        <v>196</v>
      </c>
      <c r="E366" s="103" t="s">
        <v>176</v>
      </c>
      <c r="F366" s="103" t="s">
        <v>653</v>
      </c>
      <c r="G366" s="62" t="str">
        <f t="shared" ca="1" si="22"/>
        <v>Concluído</v>
      </c>
      <c r="H366" s="168">
        <v>45833</v>
      </c>
      <c r="I366" s="109">
        <v>1</v>
      </c>
      <c r="J366" s="53">
        <f t="shared" si="19"/>
        <v>9.3233082706766908</v>
      </c>
      <c r="K366" s="108">
        <v>45808</v>
      </c>
      <c r="L366" s="108">
        <v>45838</v>
      </c>
      <c r="M366" s="68">
        <f t="shared" si="21"/>
        <v>31</v>
      </c>
      <c r="N366" s="112">
        <f>IFERROR(INDEX(Tabela3[ID_Responsavel], MATCH(O366,Tabela3[[Responsáveis ]], 0)), "Não encontrado")</f>
        <v>27</v>
      </c>
      <c r="O366" s="119" t="s">
        <v>174</v>
      </c>
      <c r="P366" s="103" t="s">
        <v>31</v>
      </c>
      <c r="Q366" s="23"/>
    </row>
    <row r="367" spans="1:17" ht="15" hidden="1" customHeight="1">
      <c r="A367" s="117">
        <f>IFERROR(INDEX(Tabela2[ID_Area], MATCH(B367,Tabela2[Area], 0)), "Não encontrado")</f>
        <v>1004</v>
      </c>
      <c r="B367" s="111" t="s">
        <v>15</v>
      </c>
      <c r="C367" s="103" t="s">
        <v>175</v>
      </c>
      <c r="D367" s="114">
        <f>IFERROR(INDEX(Metas!$D$2:$D$104, MATCH(E367,Metas!$E$2:$E$104, 0)), "Não encontrado")</f>
        <v>196</v>
      </c>
      <c r="E367" s="103" t="s">
        <v>176</v>
      </c>
      <c r="F367" s="103" t="s">
        <v>654</v>
      </c>
      <c r="G367" s="62" t="str">
        <f t="shared" ca="1" si="22"/>
        <v>Concluído</v>
      </c>
      <c r="H367" s="168">
        <v>45858</v>
      </c>
      <c r="I367" s="109">
        <v>1</v>
      </c>
      <c r="J367" s="53">
        <f t="shared" si="19"/>
        <v>9.6240601503759393</v>
      </c>
      <c r="K367" s="108">
        <v>45838</v>
      </c>
      <c r="L367" s="108">
        <v>45869</v>
      </c>
      <c r="M367" s="68">
        <f t="shared" si="21"/>
        <v>32</v>
      </c>
      <c r="N367" s="112">
        <f>IFERROR(INDEX(Tabela3[ID_Responsavel], MATCH(O367,Tabela3[[Responsáveis ]], 0)), "Não encontrado")</f>
        <v>27</v>
      </c>
      <c r="O367" s="119" t="s">
        <v>174</v>
      </c>
      <c r="P367" s="103" t="s">
        <v>31</v>
      </c>
      <c r="Q367" s="23"/>
    </row>
    <row r="368" spans="1:17" ht="15" hidden="1" customHeight="1">
      <c r="A368" s="113">
        <f>IFERROR(INDEX(Tabela2[ID_Area], MATCH(B368,Tabela2[Area], 0)), "Não encontrado")</f>
        <v>1004</v>
      </c>
      <c r="B368" s="111" t="s">
        <v>15</v>
      </c>
      <c r="C368" s="103" t="s">
        <v>175</v>
      </c>
      <c r="D368" s="114">
        <f>IFERROR(INDEX(Metas!$D$2:$D$104, MATCH(E368,Metas!$E$2:$E$104, 0)), "Não encontrado")</f>
        <v>196</v>
      </c>
      <c r="E368" s="103" t="s">
        <v>176</v>
      </c>
      <c r="F368" s="103" t="s">
        <v>655</v>
      </c>
      <c r="G368" s="62" t="str">
        <f t="shared" ca="1" si="22"/>
        <v>Concluído</v>
      </c>
      <c r="H368" s="168">
        <v>45940</v>
      </c>
      <c r="I368" s="109">
        <v>1</v>
      </c>
      <c r="J368" s="53">
        <f t="shared" si="19"/>
        <v>46.015037593984957</v>
      </c>
      <c r="K368" s="108">
        <v>45870</v>
      </c>
      <c r="L368" s="108">
        <v>46022</v>
      </c>
      <c r="M368" s="68">
        <f t="shared" si="21"/>
        <v>153</v>
      </c>
      <c r="N368" s="112">
        <f>IFERROR(INDEX(Tabela3[ID_Responsavel], MATCH(O368,Tabela3[[Responsáveis ]], 0)), "Não encontrado")</f>
        <v>27</v>
      </c>
      <c r="O368" s="119" t="s">
        <v>174</v>
      </c>
      <c r="P368" s="103" t="s">
        <v>31</v>
      </c>
      <c r="Q368" s="23"/>
    </row>
    <row r="369" spans="1:17" ht="15" hidden="1" customHeight="1">
      <c r="A369" s="117">
        <f>IFERROR(INDEX(Tabela2[ID_Area], MATCH(B369,Tabela2[Area], 0)), "Não encontrado")</f>
        <v>1004</v>
      </c>
      <c r="B369" s="111" t="s">
        <v>15</v>
      </c>
      <c r="C369" s="103" t="s">
        <v>175</v>
      </c>
      <c r="D369" s="114">
        <f>IFERROR(INDEX(Metas!$D$2:$D$104, MATCH(E369,Metas!$E$2:$E$104, 0)), "Não encontrado")</f>
        <v>196</v>
      </c>
      <c r="E369" s="103" t="s">
        <v>176</v>
      </c>
      <c r="F369" s="103" t="s">
        <v>656</v>
      </c>
      <c r="G369" s="62" t="str">
        <f t="shared" ca="1" si="22"/>
        <v>Atrasado</v>
      </c>
      <c r="H369" s="104"/>
      <c r="I369" s="109">
        <v>0.4</v>
      </c>
      <c r="J369" s="53">
        <f t="shared" si="19"/>
        <v>18.345864661654133</v>
      </c>
      <c r="K369" s="108">
        <v>45962</v>
      </c>
      <c r="L369" s="108">
        <v>46022</v>
      </c>
      <c r="M369" s="68">
        <f t="shared" si="21"/>
        <v>61</v>
      </c>
      <c r="N369" s="112">
        <f>IFERROR(INDEX(Tabela3[ID_Responsavel], MATCH(O369,Tabela3[[Responsáveis ]], 0)), "Não encontrado")</f>
        <v>27</v>
      </c>
      <c r="O369" s="119" t="s">
        <v>174</v>
      </c>
      <c r="P369" s="103" t="s">
        <v>31</v>
      </c>
      <c r="Q369" s="23"/>
    </row>
    <row r="370" spans="1:17" ht="15" hidden="1" customHeight="1">
      <c r="A370" s="113">
        <f>IFERROR(INDEX(Tabela2[ID_Area], MATCH(B370,Tabela2[Area], 0)), "Não encontrado")</f>
        <v>1004</v>
      </c>
      <c r="B370" s="111" t="s">
        <v>15</v>
      </c>
      <c r="C370" s="103" t="s">
        <v>24</v>
      </c>
      <c r="D370" s="114">
        <f>IFERROR(INDEX(Metas!$D$2:$D$104, MATCH(E370,Metas!$E$2:$E$104, 0)), "Não encontrado")</f>
        <v>198</v>
      </c>
      <c r="E370" s="103" t="s">
        <v>180</v>
      </c>
      <c r="F370" s="103" t="s">
        <v>657</v>
      </c>
      <c r="G370" s="62" t="str">
        <f t="shared" ca="1" si="22"/>
        <v>Concluído</v>
      </c>
      <c r="H370" s="168">
        <v>45930</v>
      </c>
      <c r="I370" s="109">
        <v>1</v>
      </c>
      <c r="J370" s="53">
        <f t="shared" si="19"/>
        <v>30.927835051546388</v>
      </c>
      <c r="K370" s="108">
        <v>45911</v>
      </c>
      <c r="L370" s="108">
        <v>45960</v>
      </c>
      <c r="M370" s="68">
        <f t="shared" si="21"/>
        <v>50</v>
      </c>
      <c r="N370" s="112">
        <f>IFERROR(INDEX(Tabela3[ID_Responsavel], MATCH(O370,Tabela3[[Responsáveis ]], 0)), "Não encontrado")</f>
        <v>27</v>
      </c>
      <c r="O370" s="119" t="s">
        <v>174</v>
      </c>
      <c r="P370" s="103" t="s">
        <v>31</v>
      </c>
      <c r="Q370" s="23"/>
    </row>
    <row r="371" spans="1:17" ht="15" hidden="1" customHeight="1">
      <c r="A371" s="117">
        <f>IFERROR(INDEX(Tabela2[ID_Area], MATCH(B371,Tabela2[Area], 0)), "Não encontrado")</f>
        <v>1004</v>
      </c>
      <c r="B371" s="111" t="s">
        <v>15</v>
      </c>
      <c r="C371" s="103" t="s">
        <v>24</v>
      </c>
      <c r="D371" s="114">
        <f>IFERROR(INDEX(Metas!$D$2:$D$104, MATCH(E371,Metas!$E$2:$E$104, 0)), "Não encontrado")</f>
        <v>198</v>
      </c>
      <c r="E371" s="103" t="s">
        <v>180</v>
      </c>
      <c r="F371" s="103" t="s">
        <v>658</v>
      </c>
      <c r="G371" s="62" t="str">
        <f t="shared" ca="1" si="22"/>
        <v>Concluído</v>
      </c>
      <c r="H371" s="168">
        <v>45945</v>
      </c>
      <c r="I371" s="109">
        <v>1</v>
      </c>
      <c r="J371" s="53">
        <f t="shared" si="19"/>
        <v>30.927835051546388</v>
      </c>
      <c r="K371" s="108">
        <v>45911</v>
      </c>
      <c r="L371" s="108">
        <v>45960</v>
      </c>
      <c r="M371" s="68">
        <f t="shared" si="21"/>
        <v>50</v>
      </c>
      <c r="N371" s="112">
        <f>IFERROR(INDEX(Tabela3[ID_Responsavel], MATCH(O371,Tabela3[[Responsáveis ]], 0)), "Não encontrado")</f>
        <v>27</v>
      </c>
      <c r="O371" s="119" t="s">
        <v>174</v>
      </c>
      <c r="P371" s="103" t="s">
        <v>31</v>
      </c>
      <c r="Q371" s="23"/>
    </row>
    <row r="372" spans="1:17" ht="15" hidden="1" customHeight="1">
      <c r="A372" s="113">
        <f>IFERROR(INDEX(Tabela2[ID_Area], MATCH(B372,Tabela2[Area], 0)), "Não encontrado")</f>
        <v>1004</v>
      </c>
      <c r="B372" s="111" t="s">
        <v>15</v>
      </c>
      <c r="C372" s="103" t="s">
        <v>24</v>
      </c>
      <c r="D372" s="114">
        <f>IFERROR(INDEX(Metas!$D$2:$D$104, MATCH(E372,Metas!$E$2:$E$104, 0)), "Não encontrado")</f>
        <v>198</v>
      </c>
      <c r="E372" s="103" t="s">
        <v>180</v>
      </c>
      <c r="F372" s="103" t="s">
        <v>659</v>
      </c>
      <c r="G372" s="62" t="str">
        <f t="shared" ca="1" si="22"/>
        <v>Concluído</v>
      </c>
      <c r="H372" s="156">
        <v>45987</v>
      </c>
      <c r="I372" s="109">
        <v>1</v>
      </c>
      <c r="J372" s="53">
        <f t="shared" si="19"/>
        <v>29.072164948453608</v>
      </c>
      <c r="K372" s="108">
        <v>45945</v>
      </c>
      <c r="L372" s="108">
        <v>45991</v>
      </c>
      <c r="M372" s="68">
        <f t="shared" si="21"/>
        <v>47</v>
      </c>
      <c r="N372" s="112">
        <f>IFERROR(INDEX(Tabela3[ID_Responsavel], MATCH(O372,Tabela3[[Responsáveis ]], 0)), "Não encontrado")</f>
        <v>27</v>
      </c>
      <c r="O372" s="119" t="s">
        <v>174</v>
      </c>
      <c r="P372" s="103" t="s">
        <v>31</v>
      </c>
      <c r="Q372" s="23"/>
    </row>
    <row r="373" spans="1:17" ht="15" hidden="1" customHeight="1">
      <c r="A373" s="117">
        <f>IFERROR(INDEX(Tabela2[ID_Area], MATCH(B373,Tabela2[Area], 0)), "Não encontrado")</f>
        <v>1004</v>
      </c>
      <c r="B373" s="111" t="s">
        <v>15</v>
      </c>
      <c r="C373" s="103" t="s">
        <v>24</v>
      </c>
      <c r="D373" s="114">
        <f>IFERROR(INDEX(Metas!$D$2:$D$104, MATCH(E373,Metas!$E$2:$E$104, 0)), "Não encontrado")</f>
        <v>198</v>
      </c>
      <c r="E373" s="103" t="s">
        <v>180</v>
      </c>
      <c r="F373" s="103" t="s">
        <v>660</v>
      </c>
      <c r="G373" s="62" t="str">
        <f t="shared" ca="1" si="22"/>
        <v>Não iniciado</v>
      </c>
      <c r="H373" s="104"/>
      <c r="I373" s="109"/>
      <c r="J373" s="53">
        <f t="shared" si="19"/>
        <v>19.175257731958762</v>
      </c>
      <c r="K373" s="108">
        <v>45976</v>
      </c>
      <c r="L373" s="108">
        <v>46006</v>
      </c>
      <c r="M373" s="68">
        <f t="shared" si="21"/>
        <v>31</v>
      </c>
      <c r="N373" s="112">
        <f>IFERROR(INDEX(Tabela3[ID_Responsavel], MATCH(O373,Tabela3[[Responsáveis ]], 0)), "Não encontrado")</f>
        <v>27</v>
      </c>
      <c r="O373" s="119" t="s">
        <v>174</v>
      </c>
      <c r="P373" s="103" t="s">
        <v>31</v>
      </c>
      <c r="Q373" s="23"/>
    </row>
    <row r="374" spans="1:17" ht="15" hidden="1" customHeight="1">
      <c r="A374" s="113">
        <f>IFERROR(INDEX(Tabela2[ID_Area], MATCH(B374,Tabela2[Area], 0)), "Não encontrado")</f>
        <v>1004</v>
      </c>
      <c r="B374" s="111" t="s">
        <v>15</v>
      </c>
      <c r="C374" s="103" t="s">
        <v>24</v>
      </c>
      <c r="D374" s="114">
        <f>IFERROR(INDEX(Metas!$D$2:$D$104, MATCH(E374,Metas!$E$2:$E$104, 0)), "Não encontrado")</f>
        <v>198</v>
      </c>
      <c r="E374" s="103" t="s">
        <v>180</v>
      </c>
      <c r="F374" s="103" t="s">
        <v>661</v>
      </c>
      <c r="G374" s="62" t="str">
        <f t="shared" ca="1" si="22"/>
        <v>Não iniciado</v>
      </c>
      <c r="H374" s="104"/>
      <c r="I374" s="109"/>
      <c r="J374" s="53">
        <f t="shared" si="19"/>
        <v>4.9484536082474229</v>
      </c>
      <c r="K374" s="108">
        <v>46006</v>
      </c>
      <c r="L374" s="108">
        <v>46013</v>
      </c>
      <c r="M374" s="68">
        <f t="shared" si="21"/>
        <v>8</v>
      </c>
      <c r="N374" s="112">
        <f>IFERROR(INDEX(Tabela3[ID_Responsavel], MATCH(O374,Tabela3[[Responsáveis ]], 0)), "Não encontrado")</f>
        <v>27</v>
      </c>
      <c r="O374" s="119" t="s">
        <v>174</v>
      </c>
      <c r="P374" s="103" t="s">
        <v>31</v>
      </c>
      <c r="Q374" s="23"/>
    </row>
    <row r="375" spans="1:17" ht="15" hidden="1" customHeight="1">
      <c r="A375" s="117">
        <f>IFERROR(INDEX(Tabela2[ID_Area], MATCH(B375,Tabela2[Area], 0)), "Não encontrado")</f>
        <v>1004</v>
      </c>
      <c r="B375" s="111" t="s">
        <v>15</v>
      </c>
      <c r="C375" s="103" t="s">
        <v>24</v>
      </c>
      <c r="D375" s="114">
        <f>IFERROR(INDEX(Metas!$D$2:$D$104, MATCH(E375,Metas!$E$2:$E$104, 0)), "Não encontrado")</f>
        <v>198</v>
      </c>
      <c r="E375" s="103" t="s">
        <v>180</v>
      </c>
      <c r="F375" s="103" t="s">
        <v>662</v>
      </c>
      <c r="G375" s="62" t="str">
        <f t="shared" ref="G375:G406" ca="1" si="23">IF(I375=0,"Não iniciado",IF(I375=1,"Concluído",IF(TODAY()&gt;L375,"Atrasado","Em Andamento")))</f>
        <v>Concluído</v>
      </c>
      <c r="H375" s="168">
        <v>45995</v>
      </c>
      <c r="I375" s="109">
        <v>1</v>
      </c>
      <c r="J375" s="53">
        <f t="shared" si="19"/>
        <v>4.9484536082474229</v>
      </c>
      <c r="K375" s="108">
        <v>46006</v>
      </c>
      <c r="L375" s="108">
        <v>46013</v>
      </c>
      <c r="M375" s="68">
        <f t="shared" si="21"/>
        <v>8</v>
      </c>
      <c r="N375" s="112">
        <f>IFERROR(INDEX(Tabela3[ID_Responsavel], MATCH(O375,Tabela3[[Responsáveis ]], 0)), "Não encontrado")</f>
        <v>27</v>
      </c>
      <c r="O375" s="119" t="s">
        <v>174</v>
      </c>
      <c r="P375" s="103" t="s">
        <v>31</v>
      </c>
      <c r="Q375" s="23"/>
    </row>
    <row r="376" spans="1:17" ht="15" hidden="1" customHeight="1">
      <c r="A376" s="113">
        <f>IFERROR(INDEX(Tabela2[ID_Area], MATCH(B376,Tabela2[Area], 0)), "Não encontrado")</f>
        <v>1004</v>
      </c>
      <c r="B376" s="111" t="s">
        <v>15</v>
      </c>
      <c r="C376" s="103" t="s">
        <v>16</v>
      </c>
      <c r="D376" s="114">
        <f>IFERROR(INDEX(Metas!$D$2:$D$104, MATCH(E376,Metas!$E$2:$E$104, 0)), "Não encontrado")</f>
        <v>199</v>
      </c>
      <c r="E376" s="103" t="s">
        <v>182</v>
      </c>
      <c r="F376" s="103" t="s">
        <v>663</v>
      </c>
      <c r="G376" s="62" t="str">
        <f t="shared" ca="1" si="23"/>
        <v>Concluído</v>
      </c>
      <c r="H376" s="104"/>
      <c r="I376" s="109">
        <v>1</v>
      </c>
      <c r="J376" s="53">
        <f t="shared" si="19"/>
        <v>3.3103448275862069</v>
      </c>
      <c r="K376" s="108">
        <v>45659</v>
      </c>
      <c r="L376" s="108">
        <v>45690</v>
      </c>
      <c r="M376" s="68">
        <f t="shared" si="21"/>
        <v>32</v>
      </c>
      <c r="N376" s="112">
        <f>IFERROR(INDEX(Tabela3[ID_Responsavel], MATCH(O376,Tabela3[[Responsáveis ]], 0)), "Não encontrado")</f>
        <v>27</v>
      </c>
      <c r="O376" s="119" t="s">
        <v>174</v>
      </c>
      <c r="P376" s="103" t="s">
        <v>31</v>
      </c>
      <c r="Q376" s="23"/>
    </row>
    <row r="377" spans="1:17" ht="15" hidden="1" customHeight="1">
      <c r="A377" s="117">
        <f>IFERROR(INDEX(Tabela2[ID_Area], MATCH(B377,Tabela2[Area], 0)), "Não encontrado")</f>
        <v>1004</v>
      </c>
      <c r="B377" s="111" t="s">
        <v>15</v>
      </c>
      <c r="C377" s="103" t="s">
        <v>16</v>
      </c>
      <c r="D377" s="114">
        <f>IFERROR(INDEX(Metas!$D$2:$D$104, MATCH(E377,Metas!$E$2:$E$104, 0)), "Não encontrado")</f>
        <v>199</v>
      </c>
      <c r="E377" s="103" t="s">
        <v>182</v>
      </c>
      <c r="F377" s="103" t="s">
        <v>664</v>
      </c>
      <c r="G377" s="62" t="str">
        <f t="shared" ca="1" si="23"/>
        <v>Concluído</v>
      </c>
      <c r="H377" s="104"/>
      <c r="I377" s="109">
        <v>1</v>
      </c>
      <c r="J377" s="53">
        <f t="shared" si="19"/>
        <v>3.3103448275862069</v>
      </c>
      <c r="K377" s="108">
        <v>45659</v>
      </c>
      <c r="L377" s="108">
        <v>45690</v>
      </c>
      <c r="M377" s="68">
        <f t="shared" si="21"/>
        <v>32</v>
      </c>
      <c r="N377" s="112">
        <f>IFERROR(INDEX(Tabela3[ID_Responsavel], MATCH(O377,Tabela3[[Responsáveis ]], 0)), "Não encontrado")</f>
        <v>27</v>
      </c>
      <c r="O377" s="119" t="s">
        <v>174</v>
      </c>
      <c r="P377" s="103" t="s">
        <v>31</v>
      </c>
      <c r="Q377" s="23"/>
    </row>
    <row r="378" spans="1:17" ht="15" hidden="1" customHeight="1">
      <c r="A378" s="113">
        <f>IFERROR(INDEX(Tabela2[ID_Area], MATCH(B378,Tabela2[Area], 0)), "Não encontrado")</f>
        <v>1004</v>
      </c>
      <c r="B378" s="111" t="s">
        <v>15</v>
      </c>
      <c r="C378" s="103" t="s">
        <v>16</v>
      </c>
      <c r="D378" s="114">
        <f>IFERROR(INDEX(Metas!$D$2:$D$104, MATCH(E378,Metas!$E$2:$E$104, 0)), "Não encontrado")</f>
        <v>199</v>
      </c>
      <c r="E378" s="103" t="s">
        <v>182</v>
      </c>
      <c r="F378" s="103" t="s">
        <v>665</v>
      </c>
      <c r="G378" s="62" t="str">
        <f t="shared" ca="1" si="23"/>
        <v>Concluído</v>
      </c>
      <c r="H378" s="104"/>
      <c r="I378" s="109">
        <v>1</v>
      </c>
      <c r="J378" s="53">
        <f t="shared" si="19"/>
        <v>3.827586206896552</v>
      </c>
      <c r="K378" s="108">
        <v>45672</v>
      </c>
      <c r="L378" s="108">
        <v>45708</v>
      </c>
      <c r="M378" s="68">
        <f t="shared" si="21"/>
        <v>37</v>
      </c>
      <c r="N378" s="112">
        <f>IFERROR(INDEX(Tabela3[ID_Responsavel], MATCH(O378,Tabela3[[Responsáveis ]], 0)), "Não encontrado")</f>
        <v>27</v>
      </c>
      <c r="O378" s="119" t="s">
        <v>174</v>
      </c>
      <c r="P378" s="103" t="s">
        <v>31</v>
      </c>
      <c r="Q378" s="23"/>
    </row>
    <row r="379" spans="1:17" ht="15" hidden="1" customHeight="1">
      <c r="A379" s="117">
        <f>IFERROR(INDEX(Tabela2[ID_Area], MATCH(B379,Tabela2[Area], 0)), "Não encontrado")</f>
        <v>1004</v>
      </c>
      <c r="B379" s="111" t="s">
        <v>15</v>
      </c>
      <c r="C379" s="103" t="s">
        <v>16</v>
      </c>
      <c r="D379" s="114">
        <f>IFERROR(INDEX(Metas!$D$2:$D$104, MATCH(E379,Metas!$E$2:$E$104, 0)), "Não encontrado")</f>
        <v>199</v>
      </c>
      <c r="E379" s="103" t="s">
        <v>182</v>
      </c>
      <c r="F379" s="103" t="s">
        <v>666</v>
      </c>
      <c r="G379" s="62" t="str">
        <f t="shared" ca="1" si="23"/>
        <v>Concluído</v>
      </c>
      <c r="H379" s="104"/>
      <c r="I379" s="109">
        <v>1</v>
      </c>
      <c r="J379" s="53">
        <f t="shared" si="19"/>
        <v>5.5862068965517242</v>
      </c>
      <c r="K379" s="108">
        <v>45659</v>
      </c>
      <c r="L379" s="108">
        <v>45712</v>
      </c>
      <c r="M379" s="68">
        <f t="shared" si="21"/>
        <v>54</v>
      </c>
      <c r="N379" s="112">
        <f>IFERROR(INDEX(Tabela3[ID_Responsavel], MATCH(O379,Tabela3[[Responsáveis ]], 0)), "Não encontrado")</f>
        <v>27</v>
      </c>
      <c r="O379" s="119" t="s">
        <v>174</v>
      </c>
      <c r="P379" s="103" t="s">
        <v>31</v>
      </c>
      <c r="Q379" s="23"/>
    </row>
    <row r="380" spans="1:17" ht="15" hidden="1" customHeight="1">
      <c r="A380" s="113">
        <f>IFERROR(INDEX(Tabela2[ID_Area], MATCH(B380,Tabela2[Area], 0)), "Não encontrado")</f>
        <v>1004</v>
      </c>
      <c r="B380" s="111" t="s">
        <v>15</v>
      </c>
      <c r="C380" s="103" t="s">
        <v>16</v>
      </c>
      <c r="D380" s="114">
        <f>IFERROR(INDEX(Metas!$D$2:$D$104, MATCH(E380,Metas!$E$2:$E$104, 0)), "Não encontrado")</f>
        <v>199</v>
      </c>
      <c r="E380" s="103" t="s">
        <v>182</v>
      </c>
      <c r="F380" s="103" t="s">
        <v>667</v>
      </c>
      <c r="G380" s="62" t="str">
        <f t="shared" ca="1" si="23"/>
        <v>Concluído</v>
      </c>
      <c r="H380" s="104"/>
      <c r="I380" s="109">
        <v>1</v>
      </c>
      <c r="J380" s="53">
        <f t="shared" si="19"/>
        <v>6</v>
      </c>
      <c r="K380" s="108">
        <v>45659</v>
      </c>
      <c r="L380" s="108">
        <v>45716</v>
      </c>
      <c r="M380" s="68">
        <f t="shared" si="21"/>
        <v>58</v>
      </c>
      <c r="N380" s="112">
        <f>IFERROR(INDEX(Tabela3[ID_Responsavel], MATCH(O380,Tabela3[[Responsáveis ]], 0)), "Não encontrado")</f>
        <v>27</v>
      </c>
      <c r="O380" s="119" t="s">
        <v>174</v>
      </c>
      <c r="P380" s="103" t="s">
        <v>31</v>
      </c>
      <c r="Q380" s="23"/>
    </row>
    <row r="381" spans="1:17" ht="15" hidden="1" customHeight="1">
      <c r="A381" s="117">
        <f>IFERROR(INDEX(Tabela2[ID_Area], MATCH(B381,Tabela2[Area], 0)), "Não encontrado")</f>
        <v>1004</v>
      </c>
      <c r="B381" s="111" t="s">
        <v>15</v>
      </c>
      <c r="C381" s="103" t="s">
        <v>16</v>
      </c>
      <c r="D381" s="114">
        <f>IFERROR(INDEX(Metas!$D$2:$D$104, MATCH(E381,Metas!$E$2:$E$104, 0)), "Não encontrado")</f>
        <v>199</v>
      </c>
      <c r="E381" s="103" t="s">
        <v>182</v>
      </c>
      <c r="F381" s="103" t="s">
        <v>668</v>
      </c>
      <c r="G381" s="62" t="str">
        <f t="shared" ca="1" si="23"/>
        <v>Concluído</v>
      </c>
      <c r="H381" s="104"/>
      <c r="I381" s="109">
        <v>1</v>
      </c>
      <c r="J381" s="53">
        <f t="shared" si="19"/>
        <v>35.275862068965516</v>
      </c>
      <c r="K381" s="108">
        <v>45682</v>
      </c>
      <c r="L381" s="108">
        <v>46022</v>
      </c>
      <c r="M381" s="68">
        <f t="shared" si="21"/>
        <v>341</v>
      </c>
      <c r="N381" s="112">
        <f>IFERROR(INDEX(Tabela3[ID_Responsavel], MATCH(O381,Tabela3[[Responsáveis ]], 0)), "Não encontrado")</f>
        <v>27</v>
      </c>
      <c r="O381" s="119" t="s">
        <v>174</v>
      </c>
      <c r="P381" s="103" t="s">
        <v>31</v>
      </c>
      <c r="Q381" s="23"/>
    </row>
    <row r="382" spans="1:17" ht="15" hidden="1" customHeight="1">
      <c r="A382" s="113">
        <f>IFERROR(INDEX(Tabela2[ID_Area], MATCH(B382,Tabela2[Area], 0)), "Não encontrado")</f>
        <v>1004</v>
      </c>
      <c r="B382" s="111" t="s">
        <v>15</v>
      </c>
      <c r="C382" s="103" t="s">
        <v>16</v>
      </c>
      <c r="D382" s="114">
        <f>IFERROR(INDEX(Metas!$D$2:$D$104, MATCH(E382,Metas!$E$2:$E$104, 0)), "Não encontrado")</f>
        <v>199</v>
      </c>
      <c r="E382" s="103" t="s">
        <v>182</v>
      </c>
      <c r="F382" s="103" t="s">
        <v>669</v>
      </c>
      <c r="G382" s="62" t="str">
        <f t="shared" ca="1" si="23"/>
        <v>Concluído</v>
      </c>
      <c r="H382" s="104"/>
      <c r="I382" s="109">
        <v>1</v>
      </c>
      <c r="J382" s="53">
        <f t="shared" si="19"/>
        <v>9.6206896551724128</v>
      </c>
      <c r="K382" s="108">
        <v>45659</v>
      </c>
      <c r="L382" s="108">
        <v>45751</v>
      </c>
      <c r="M382" s="68">
        <f t="shared" si="21"/>
        <v>93</v>
      </c>
      <c r="N382" s="112">
        <f>IFERROR(INDEX(Tabela3[ID_Responsavel], MATCH(O382,Tabela3[[Responsáveis ]], 0)), "Não encontrado")</f>
        <v>27</v>
      </c>
      <c r="O382" s="119" t="s">
        <v>174</v>
      </c>
      <c r="P382" s="103" t="s">
        <v>31</v>
      </c>
      <c r="Q382" s="23"/>
    </row>
    <row r="383" spans="1:17" ht="15" hidden="1" customHeight="1">
      <c r="A383" s="117">
        <f>IFERROR(INDEX(Tabela2[ID_Area], MATCH(B383,Tabela2[Area], 0)), "Não encontrado")</f>
        <v>1004</v>
      </c>
      <c r="B383" s="111" t="s">
        <v>15</v>
      </c>
      <c r="C383" s="103" t="s">
        <v>16</v>
      </c>
      <c r="D383" s="114">
        <f>IFERROR(INDEX(Metas!$D$2:$D$104, MATCH(E383,Metas!$E$2:$E$104, 0)), "Não encontrado")</f>
        <v>199</v>
      </c>
      <c r="E383" s="103" t="s">
        <v>182</v>
      </c>
      <c r="F383" s="103" t="s">
        <v>670</v>
      </c>
      <c r="G383" s="62" t="str">
        <f t="shared" ca="1" si="23"/>
        <v>Concluído</v>
      </c>
      <c r="H383" s="104"/>
      <c r="I383" s="109">
        <v>1</v>
      </c>
      <c r="J383" s="53">
        <f t="shared" si="19"/>
        <v>6.3103448275862073</v>
      </c>
      <c r="K383" s="108">
        <v>45659</v>
      </c>
      <c r="L383" s="108">
        <v>45719</v>
      </c>
      <c r="M383" s="68">
        <f t="shared" si="21"/>
        <v>61</v>
      </c>
      <c r="N383" s="112">
        <f>IFERROR(INDEX(Tabela3[ID_Responsavel], MATCH(O383,Tabela3[[Responsáveis ]], 0)), "Não encontrado")</f>
        <v>27</v>
      </c>
      <c r="O383" s="119" t="s">
        <v>174</v>
      </c>
      <c r="P383" s="103" t="s">
        <v>31</v>
      </c>
      <c r="Q383" s="23"/>
    </row>
    <row r="384" spans="1:17" ht="15" hidden="1" customHeight="1">
      <c r="A384" s="113">
        <f>IFERROR(INDEX(Tabela2[ID_Area], MATCH(B384,Tabela2[Area], 0)), "Não encontrado")</f>
        <v>1004</v>
      </c>
      <c r="B384" s="111" t="s">
        <v>15</v>
      </c>
      <c r="C384" s="103" t="s">
        <v>16</v>
      </c>
      <c r="D384" s="114">
        <f>IFERROR(INDEX(Metas!$D$2:$D$104, MATCH(E384,Metas!$E$2:$E$104, 0)), "Não encontrado")</f>
        <v>199</v>
      </c>
      <c r="E384" s="103" t="s">
        <v>182</v>
      </c>
      <c r="F384" s="103" t="s">
        <v>671</v>
      </c>
      <c r="G384" s="62" t="str">
        <f t="shared" ca="1" si="23"/>
        <v>Concluído</v>
      </c>
      <c r="H384" s="104"/>
      <c r="I384" s="109">
        <v>1</v>
      </c>
      <c r="J384" s="53">
        <f t="shared" si="19"/>
        <v>3.3103448275862069</v>
      </c>
      <c r="K384" s="108">
        <v>45720</v>
      </c>
      <c r="L384" s="108">
        <v>45751</v>
      </c>
      <c r="M384" s="68">
        <f t="shared" si="21"/>
        <v>32</v>
      </c>
      <c r="N384" s="112">
        <f>IFERROR(INDEX(Tabela3[ID_Responsavel], MATCH(O384,Tabela3[[Responsáveis ]], 0)), "Não encontrado")</f>
        <v>27</v>
      </c>
      <c r="O384" s="119" t="s">
        <v>174</v>
      </c>
      <c r="P384" s="103" t="s">
        <v>31</v>
      </c>
      <c r="Q384" s="23"/>
    </row>
    <row r="385" spans="1:17" ht="15" hidden="1" customHeight="1">
      <c r="A385" s="117">
        <f>IFERROR(INDEX(Tabela2[ID_Area], MATCH(B385,Tabela2[Area], 0)), "Não encontrado")</f>
        <v>1004</v>
      </c>
      <c r="B385" s="111" t="s">
        <v>15</v>
      </c>
      <c r="C385" s="103" t="s">
        <v>16</v>
      </c>
      <c r="D385" s="114">
        <f>IFERROR(INDEX(Metas!$D$2:$D$104, MATCH(E385,Metas!$E$2:$E$104, 0)), "Não encontrado")</f>
        <v>199</v>
      </c>
      <c r="E385" s="103" t="s">
        <v>182</v>
      </c>
      <c r="F385" s="103" t="s">
        <v>672</v>
      </c>
      <c r="G385" s="62" t="str">
        <f t="shared" ca="1" si="23"/>
        <v>Concluído</v>
      </c>
      <c r="H385" s="104"/>
      <c r="I385" s="109">
        <v>1</v>
      </c>
      <c r="J385" s="53">
        <f t="shared" si="19"/>
        <v>21.724137931034484</v>
      </c>
      <c r="K385" s="108">
        <v>45659</v>
      </c>
      <c r="L385" s="108">
        <v>45868</v>
      </c>
      <c r="M385" s="68">
        <f t="shared" si="21"/>
        <v>210</v>
      </c>
      <c r="N385" s="112">
        <f>IFERROR(INDEX(Tabela3[ID_Responsavel], MATCH(O385,Tabela3[[Responsáveis ]], 0)), "Não encontrado")</f>
        <v>27</v>
      </c>
      <c r="O385" s="119" t="s">
        <v>174</v>
      </c>
      <c r="P385" s="103" t="s">
        <v>31</v>
      </c>
      <c r="Q385" s="23"/>
    </row>
    <row r="386" spans="1:17" ht="15" hidden="1" customHeight="1">
      <c r="A386" s="113">
        <f>IFERROR(INDEX(Tabela2[ID_Area], MATCH(B386,Tabela2[Area], 0)), "Não encontrado")</f>
        <v>1004</v>
      </c>
      <c r="B386" s="111" t="s">
        <v>15</v>
      </c>
      <c r="C386" s="103" t="s">
        <v>16</v>
      </c>
      <c r="D386" s="114">
        <f>IFERROR(INDEX(Metas!$D$2:$D$104, MATCH(E386,Metas!$E$2:$E$104, 0)), "Não encontrado")</f>
        <v>199</v>
      </c>
      <c r="E386" s="103" t="s">
        <v>182</v>
      </c>
      <c r="F386" s="103" t="s">
        <v>673</v>
      </c>
      <c r="G386" s="62" t="str">
        <f t="shared" ca="1" si="23"/>
        <v>Concluído</v>
      </c>
      <c r="H386" s="104"/>
      <c r="I386" s="109">
        <v>1</v>
      </c>
      <c r="J386" s="53">
        <f t="shared" ref="J386:J449" si="24">IFERROR( M386 / SUMIFS($M:$M, $E:$E, $E386, $O:$O, $O386) * 120, 0 )</f>
        <v>8.068965517241379</v>
      </c>
      <c r="K386" s="108">
        <v>45659</v>
      </c>
      <c r="L386" s="108">
        <v>45736</v>
      </c>
      <c r="M386" s="68">
        <f t="shared" si="21"/>
        <v>78</v>
      </c>
      <c r="N386" s="112">
        <f>IFERROR(INDEX(Tabela3[ID_Responsavel], MATCH(O386,Tabela3[[Responsáveis ]], 0)), "Não encontrado")</f>
        <v>27</v>
      </c>
      <c r="O386" s="119" t="s">
        <v>174</v>
      </c>
      <c r="P386" s="103" t="s">
        <v>31</v>
      </c>
      <c r="Q386" s="23"/>
    </row>
    <row r="387" spans="1:17" ht="15" hidden="1" customHeight="1">
      <c r="A387" s="117">
        <f>IFERROR(INDEX(Tabela2[ID_Area], MATCH(B387,Tabela2[Area], 0)), "Não encontrado")</f>
        <v>1004</v>
      </c>
      <c r="B387" s="111" t="s">
        <v>15</v>
      </c>
      <c r="C387" s="103" t="s">
        <v>16</v>
      </c>
      <c r="D387" s="114">
        <f>IFERROR(INDEX(Metas!$D$2:$D$104, MATCH(E387,Metas!$E$2:$E$104, 0)), "Não encontrado")</f>
        <v>199</v>
      </c>
      <c r="E387" s="103" t="s">
        <v>182</v>
      </c>
      <c r="F387" s="103" t="s">
        <v>668</v>
      </c>
      <c r="G387" s="62" t="str">
        <f t="shared" ca="1" si="23"/>
        <v>Concluído</v>
      </c>
      <c r="H387" s="104"/>
      <c r="I387" s="109">
        <v>1</v>
      </c>
      <c r="J387" s="53">
        <f t="shared" si="24"/>
        <v>13.655172413793103</v>
      </c>
      <c r="K387" s="108">
        <v>45737</v>
      </c>
      <c r="L387" s="108">
        <v>45868</v>
      </c>
      <c r="M387" s="68">
        <f t="shared" ref="M387:M450" si="25" xml:space="preserve"> L387 - K387 + 1</f>
        <v>132</v>
      </c>
      <c r="N387" s="112">
        <f>IFERROR(INDEX(Tabela3[ID_Responsavel], MATCH(O387,Tabela3[[Responsáveis ]], 0)), "Não encontrado")</f>
        <v>27</v>
      </c>
      <c r="O387" s="119" t="s">
        <v>174</v>
      </c>
      <c r="P387" s="103" t="s">
        <v>31</v>
      </c>
      <c r="Q387" s="23"/>
    </row>
    <row r="388" spans="1:17" ht="15" hidden="1" customHeight="1">
      <c r="A388" s="113">
        <f>IFERROR(INDEX(Tabela2[ID_Area], MATCH(B388,Tabela2[Area], 0)), "Não encontrado")</f>
        <v>1004</v>
      </c>
      <c r="B388" s="111" t="s">
        <v>15</v>
      </c>
      <c r="C388" s="103"/>
      <c r="D388" s="114">
        <f>IFERROR(INDEX(Metas!$D$2:$D$104, MATCH(E388,Metas!$E$2:$E$104, 0)), "Não encontrado")</f>
        <v>195</v>
      </c>
      <c r="E388" s="106" t="s">
        <v>173</v>
      </c>
      <c r="F388" s="103" t="s">
        <v>674</v>
      </c>
      <c r="G388" s="62" t="str">
        <f t="shared" ca="1" si="23"/>
        <v>Concluído</v>
      </c>
      <c r="H388" s="168">
        <v>45785</v>
      </c>
      <c r="I388" s="115">
        <v>1</v>
      </c>
      <c r="J388" s="53">
        <f t="shared" si="24"/>
        <v>9.473684210526315</v>
      </c>
      <c r="K388" s="108">
        <v>45769</v>
      </c>
      <c r="L388" s="108">
        <v>45807</v>
      </c>
      <c r="M388" s="68">
        <f t="shared" si="25"/>
        <v>39</v>
      </c>
      <c r="N388" s="112">
        <f>IFERROR(INDEX(Tabela3[ID_Responsavel], MATCH(O388,Tabela3[[Responsáveis ]], 0)), "Não encontrado")</f>
        <v>27</v>
      </c>
      <c r="O388" s="119" t="s">
        <v>174</v>
      </c>
      <c r="P388" s="103" t="s">
        <v>31</v>
      </c>
      <c r="Q388" s="116"/>
    </row>
    <row r="389" spans="1:17" ht="15" hidden="1" customHeight="1">
      <c r="A389" s="117">
        <f>IFERROR(INDEX(Tabela2[ID_Area], MATCH(B389,Tabela2[Area], 0)), "Não encontrado")</f>
        <v>1004</v>
      </c>
      <c r="B389" s="111" t="s">
        <v>15</v>
      </c>
      <c r="C389" s="103"/>
      <c r="D389" s="114">
        <f>IFERROR(INDEX(Metas!$D$2:$D$104, MATCH(E389,Metas!$E$2:$E$104, 0)), "Não encontrado")</f>
        <v>195</v>
      </c>
      <c r="E389" s="106" t="s">
        <v>173</v>
      </c>
      <c r="F389" s="106" t="s">
        <v>675</v>
      </c>
      <c r="G389" s="62" t="str">
        <f t="shared" ca="1" si="23"/>
        <v>Concluído</v>
      </c>
      <c r="H389" s="168">
        <v>46007</v>
      </c>
      <c r="I389" s="115">
        <v>1</v>
      </c>
      <c r="J389" s="53">
        <f t="shared" si="24"/>
        <v>38.137651821862349</v>
      </c>
      <c r="K389" s="108">
        <v>45866</v>
      </c>
      <c r="L389" s="108">
        <v>46022</v>
      </c>
      <c r="M389" s="68">
        <f t="shared" si="25"/>
        <v>157</v>
      </c>
      <c r="N389" s="112">
        <f>IFERROR(INDEX(Tabela3[ID_Responsavel], MATCH(O389,Tabela3[[Responsáveis ]], 0)), "Não encontrado")</f>
        <v>27</v>
      </c>
      <c r="O389" s="119" t="s">
        <v>174</v>
      </c>
      <c r="P389" s="103" t="s">
        <v>31</v>
      </c>
      <c r="Q389" s="116"/>
    </row>
    <row r="390" spans="1:17" ht="15" hidden="1" customHeight="1">
      <c r="A390" s="113">
        <f>IFERROR(INDEX(Tabela2[ID_Area], MATCH(B390,Tabela2[Area], 0)), "Não encontrado")</f>
        <v>1004</v>
      </c>
      <c r="B390" s="111" t="s">
        <v>15</v>
      </c>
      <c r="C390" s="103"/>
      <c r="D390" s="114">
        <f>IFERROR(INDEX(Metas!$D$2:$D$104, MATCH(E390,Metas!$E$2:$E$104, 0)), "Não encontrado")</f>
        <v>195</v>
      </c>
      <c r="E390" s="106" t="s">
        <v>173</v>
      </c>
      <c r="F390" s="106" t="s">
        <v>676</v>
      </c>
      <c r="G390" s="62" t="str">
        <f t="shared" ca="1" si="23"/>
        <v>Concluído</v>
      </c>
      <c r="H390" s="168">
        <v>45996</v>
      </c>
      <c r="I390" s="115">
        <v>1</v>
      </c>
      <c r="J390" s="53">
        <f t="shared" si="24"/>
        <v>37.40890688259109</v>
      </c>
      <c r="K390" s="108">
        <v>45848</v>
      </c>
      <c r="L390" s="108">
        <v>46001</v>
      </c>
      <c r="M390" s="68">
        <f t="shared" si="25"/>
        <v>154</v>
      </c>
      <c r="N390" s="112">
        <f>IFERROR(INDEX(Tabela3[ID_Responsavel], MATCH(O390,Tabela3[[Responsáveis ]], 0)), "Não encontrado")</f>
        <v>27</v>
      </c>
      <c r="O390" s="119" t="s">
        <v>174</v>
      </c>
      <c r="P390" s="103" t="s">
        <v>31</v>
      </c>
      <c r="Q390" s="116"/>
    </row>
    <row r="391" spans="1:17" ht="15" hidden="1" customHeight="1">
      <c r="A391" s="117">
        <f>IFERROR(INDEX(Tabela2[ID_Area], MATCH(B391,Tabela2[Area], 0)), "Não encontrado")</f>
        <v>1004</v>
      </c>
      <c r="B391" s="111" t="s">
        <v>15</v>
      </c>
      <c r="C391" s="103"/>
      <c r="D391" s="114">
        <f>IFERROR(INDEX(Metas!$D$2:$D$104, MATCH(E391,Metas!$E$2:$E$104, 0)), "Não encontrado")</f>
        <v>195</v>
      </c>
      <c r="E391" s="106" t="s">
        <v>173</v>
      </c>
      <c r="F391" s="106" t="s">
        <v>677</v>
      </c>
      <c r="G391" s="62" t="str">
        <f t="shared" ca="1" si="23"/>
        <v>Concluído</v>
      </c>
      <c r="H391" s="168">
        <v>45894</v>
      </c>
      <c r="I391" s="115">
        <v>1</v>
      </c>
      <c r="J391" s="53">
        <f t="shared" si="24"/>
        <v>27.692307692307693</v>
      </c>
      <c r="K391" s="108">
        <v>45848</v>
      </c>
      <c r="L391" s="108">
        <v>45961</v>
      </c>
      <c r="M391" s="68">
        <f t="shared" si="25"/>
        <v>114</v>
      </c>
      <c r="N391" s="112">
        <f>IFERROR(INDEX(Tabela3[ID_Responsavel], MATCH(O391,Tabela3[[Responsáveis ]], 0)), "Não encontrado")</f>
        <v>27</v>
      </c>
      <c r="O391" s="119" t="s">
        <v>174</v>
      </c>
      <c r="P391" s="103" t="s">
        <v>31</v>
      </c>
      <c r="Q391" s="116"/>
    </row>
    <row r="392" spans="1:17" ht="15" hidden="1" customHeight="1">
      <c r="A392" s="113">
        <f>IFERROR(INDEX(Tabela2[ID_Area], MATCH(B392,Tabela2[Area], 0)), "Não encontrado")</f>
        <v>1004</v>
      </c>
      <c r="B392" s="111" t="s">
        <v>15</v>
      </c>
      <c r="C392" s="103"/>
      <c r="D392" s="114">
        <f>IFERROR(INDEX(Metas!$D$2:$D$104, MATCH(E392,Metas!$E$2:$E$104, 0)), "Não encontrado")</f>
        <v>195</v>
      </c>
      <c r="E392" s="106" t="s">
        <v>173</v>
      </c>
      <c r="F392" s="106" t="s">
        <v>678</v>
      </c>
      <c r="G392" s="62" t="str">
        <f t="shared" ca="1" si="23"/>
        <v>Concluído</v>
      </c>
      <c r="H392" s="156">
        <v>45996</v>
      </c>
      <c r="I392" s="115">
        <v>1</v>
      </c>
      <c r="J392" s="53">
        <f t="shared" si="24"/>
        <v>7.2874493927125501</v>
      </c>
      <c r="K392" s="108">
        <v>45962</v>
      </c>
      <c r="L392" s="108">
        <v>45991</v>
      </c>
      <c r="M392" s="68">
        <f t="shared" si="25"/>
        <v>30</v>
      </c>
      <c r="N392" s="112">
        <f>IFERROR(INDEX(Tabela3[ID_Responsavel], MATCH(O392,Tabela3[[Responsáveis ]], 0)), "Não encontrado")</f>
        <v>27</v>
      </c>
      <c r="O392" s="119" t="s">
        <v>174</v>
      </c>
      <c r="P392" s="103" t="s">
        <v>31</v>
      </c>
      <c r="Q392" s="116"/>
    </row>
    <row r="393" spans="1:17" ht="15" hidden="1" customHeight="1">
      <c r="A393" s="117">
        <f>IFERROR(INDEX(Tabela2[ID_Area], MATCH(B393,Tabela2[Area], 0)), "Não encontrado")</f>
        <v>1004</v>
      </c>
      <c r="B393" s="111" t="s">
        <v>15</v>
      </c>
      <c r="C393" s="103"/>
      <c r="D393" s="114">
        <f>IFERROR(INDEX(Metas!$D$2:$D$104, MATCH(E393,Metas!$E$2:$E$104, 0)), "Não encontrado")</f>
        <v>197</v>
      </c>
      <c r="E393" s="106" t="s">
        <v>179</v>
      </c>
      <c r="F393" s="106" t="s">
        <v>679</v>
      </c>
      <c r="G393" s="62" t="str">
        <f t="shared" ca="1" si="23"/>
        <v>Concluído</v>
      </c>
      <c r="H393" s="168">
        <v>45763</v>
      </c>
      <c r="I393" s="115">
        <v>1</v>
      </c>
      <c r="J393" s="53">
        <f t="shared" si="24"/>
        <v>7.1999999999999993</v>
      </c>
      <c r="K393" s="108">
        <v>45748</v>
      </c>
      <c r="L393" s="108">
        <v>45777</v>
      </c>
      <c r="M393" s="68">
        <f t="shared" si="25"/>
        <v>30</v>
      </c>
      <c r="N393" s="112">
        <f>IFERROR(INDEX(Tabela3[ID_Responsavel], MATCH(O393,Tabela3[[Responsáveis ]], 0)), "Não encontrado")</f>
        <v>27</v>
      </c>
      <c r="O393" s="119" t="s">
        <v>174</v>
      </c>
      <c r="P393" s="103" t="s">
        <v>31</v>
      </c>
      <c r="Q393" s="116"/>
    </row>
    <row r="394" spans="1:17" ht="15" hidden="1" customHeight="1">
      <c r="A394" s="113">
        <f>IFERROR(INDEX(Tabela2[ID_Area], MATCH(B394,Tabela2[Area], 0)), "Não encontrado")</f>
        <v>1004</v>
      </c>
      <c r="B394" s="111" t="s">
        <v>15</v>
      </c>
      <c r="C394" s="103"/>
      <c r="D394" s="114">
        <f>IFERROR(INDEX(Metas!$D$2:$D$104, MATCH(E394,Metas!$E$2:$E$104, 0)), "Não encontrado")</f>
        <v>197</v>
      </c>
      <c r="E394" s="106" t="s">
        <v>179</v>
      </c>
      <c r="F394" s="106" t="s">
        <v>680</v>
      </c>
      <c r="G394" s="62" t="str">
        <f t="shared" ca="1" si="23"/>
        <v>Concluído</v>
      </c>
      <c r="H394" s="168">
        <v>45763</v>
      </c>
      <c r="I394" s="115">
        <v>1</v>
      </c>
      <c r="J394" s="53">
        <f t="shared" si="24"/>
        <v>7.1999999999999993</v>
      </c>
      <c r="K394" s="108">
        <v>45748</v>
      </c>
      <c r="L394" s="108">
        <v>45777</v>
      </c>
      <c r="M394" s="68">
        <f t="shared" si="25"/>
        <v>30</v>
      </c>
      <c r="N394" s="112">
        <f>IFERROR(INDEX(Tabela3[ID_Responsavel], MATCH(O394,Tabela3[[Responsáveis ]], 0)), "Não encontrado")</f>
        <v>27</v>
      </c>
      <c r="O394" s="119" t="s">
        <v>174</v>
      </c>
      <c r="P394" s="103" t="s">
        <v>31</v>
      </c>
      <c r="Q394" s="116"/>
    </row>
    <row r="395" spans="1:17" ht="15" hidden="1" customHeight="1">
      <c r="A395" s="117">
        <f>IFERROR(INDEX(Tabela2[ID_Area], MATCH(B395,Tabela2[Area], 0)), "Não encontrado")</f>
        <v>1004</v>
      </c>
      <c r="B395" s="111" t="s">
        <v>15</v>
      </c>
      <c r="C395" s="103"/>
      <c r="D395" s="114">
        <f>IFERROR(INDEX(Metas!$D$2:$D$104, MATCH(E395,Metas!$E$2:$E$104, 0)), "Não encontrado")</f>
        <v>197</v>
      </c>
      <c r="E395" s="106" t="s">
        <v>179</v>
      </c>
      <c r="F395" s="106" t="s">
        <v>681</v>
      </c>
      <c r="G395" s="62" t="str">
        <f t="shared" ca="1" si="23"/>
        <v>Concluído</v>
      </c>
      <c r="H395" s="168">
        <v>46010</v>
      </c>
      <c r="I395" s="115">
        <v>1</v>
      </c>
      <c r="J395" s="53">
        <f t="shared" si="24"/>
        <v>66</v>
      </c>
      <c r="K395" s="108">
        <v>45748</v>
      </c>
      <c r="L395" s="108">
        <v>46022</v>
      </c>
      <c r="M395" s="68">
        <f t="shared" si="25"/>
        <v>275</v>
      </c>
      <c r="N395" s="112">
        <f>IFERROR(INDEX(Tabela3[ID_Responsavel], MATCH(O395,Tabela3[[Responsáveis ]], 0)), "Não encontrado")</f>
        <v>27</v>
      </c>
      <c r="O395" s="119" t="s">
        <v>174</v>
      </c>
      <c r="P395" s="103" t="s">
        <v>31</v>
      </c>
      <c r="Q395" s="116"/>
    </row>
    <row r="396" spans="1:17" ht="15" hidden="1" customHeight="1">
      <c r="A396" s="113">
        <f>IFERROR(INDEX(Tabela2[ID_Area], MATCH(B396,Tabela2[Area], 0)), "Não encontrado")</f>
        <v>1004</v>
      </c>
      <c r="B396" s="111" t="s">
        <v>15</v>
      </c>
      <c r="C396" s="103"/>
      <c r="D396" s="114">
        <f>IFERROR(INDEX(Metas!$D$2:$D$104, MATCH(E396,Metas!$E$2:$E$104, 0)), "Não encontrado")</f>
        <v>197</v>
      </c>
      <c r="E396" s="106" t="s">
        <v>179</v>
      </c>
      <c r="F396" s="106" t="s">
        <v>682</v>
      </c>
      <c r="G396" s="62" t="str">
        <f t="shared" ca="1" si="23"/>
        <v>Concluído</v>
      </c>
      <c r="H396" s="168">
        <v>45910</v>
      </c>
      <c r="I396" s="115">
        <v>1</v>
      </c>
      <c r="J396" s="53">
        <f t="shared" si="24"/>
        <v>7.1999999999999993</v>
      </c>
      <c r="K396" s="108">
        <v>45901</v>
      </c>
      <c r="L396" s="108">
        <v>45930</v>
      </c>
      <c r="M396" s="68">
        <f t="shared" si="25"/>
        <v>30</v>
      </c>
      <c r="N396" s="112">
        <f>IFERROR(INDEX(Tabela3[ID_Responsavel], MATCH(O396,Tabela3[[Responsáveis ]], 0)), "Não encontrado")</f>
        <v>27</v>
      </c>
      <c r="O396" s="119" t="s">
        <v>174</v>
      </c>
      <c r="P396" s="103" t="s">
        <v>31</v>
      </c>
      <c r="Q396" s="116"/>
    </row>
    <row r="397" spans="1:17" ht="15" hidden="1" customHeight="1">
      <c r="A397" s="117">
        <f>IFERROR(INDEX(Tabela2[ID_Area], MATCH(B397,Tabela2[Area], 0)), "Não encontrado")</f>
        <v>1004</v>
      </c>
      <c r="B397" s="111" t="s">
        <v>15</v>
      </c>
      <c r="C397" s="103"/>
      <c r="D397" s="114">
        <f>IFERROR(INDEX(Metas!$D$2:$D$104, MATCH(E397,Metas!$E$2:$E$104, 0)), "Não encontrado")</f>
        <v>197</v>
      </c>
      <c r="E397" s="106" t="s">
        <v>179</v>
      </c>
      <c r="F397" s="106" t="s">
        <v>683</v>
      </c>
      <c r="G397" s="62" t="str">
        <f t="shared" ca="1" si="23"/>
        <v>Concluído</v>
      </c>
      <c r="H397" s="168">
        <v>46010</v>
      </c>
      <c r="I397" s="115">
        <v>1</v>
      </c>
      <c r="J397" s="53">
        <f t="shared" si="24"/>
        <v>5.2799999999999994</v>
      </c>
      <c r="K397" s="108">
        <v>45992</v>
      </c>
      <c r="L397" s="108">
        <v>46013</v>
      </c>
      <c r="M397" s="68">
        <f t="shared" si="25"/>
        <v>22</v>
      </c>
      <c r="N397" s="112">
        <f>IFERROR(INDEX(Tabela3[ID_Responsavel], MATCH(O397,Tabela3[[Responsáveis ]], 0)), "Não encontrado")</f>
        <v>27</v>
      </c>
      <c r="O397" s="119" t="s">
        <v>174</v>
      </c>
      <c r="P397" s="103" t="s">
        <v>31</v>
      </c>
      <c r="Q397" s="116"/>
    </row>
    <row r="398" spans="1:17" ht="15" hidden="1" customHeight="1">
      <c r="A398" s="113">
        <f>IFERROR(INDEX(Tabela2[ID_Area], MATCH(B398,Tabela2[Area], 0)), "Não encontrado")</f>
        <v>1004</v>
      </c>
      <c r="B398" s="111" t="s">
        <v>15</v>
      </c>
      <c r="C398" s="103"/>
      <c r="D398" s="114">
        <f>IFERROR(INDEX(Metas!$D$2:$D$104, MATCH(E398,Metas!$E$2:$E$104, 0)), "Não encontrado")</f>
        <v>197</v>
      </c>
      <c r="E398" s="106" t="s">
        <v>179</v>
      </c>
      <c r="F398" s="106" t="s">
        <v>684</v>
      </c>
      <c r="G398" s="62" t="str">
        <f t="shared" ca="1" si="23"/>
        <v>Concluído</v>
      </c>
      <c r="H398" s="168">
        <v>45940</v>
      </c>
      <c r="I398" s="115">
        <v>1</v>
      </c>
      <c r="J398" s="53">
        <f t="shared" si="24"/>
        <v>27.12</v>
      </c>
      <c r="K398" s="108">
        <v>45901</v>
      </c>
      <c r="L398" s="108">
        <v>46013</v>
      </c>
      <c r="M398" s="68">
        <f t="shared" si="25"/>
        <v>113</v>
      </c>
      <c r="N398" s="112">
        <f>IFERROR(INDEX(Tabela3[ID_Responsavel], MATCH(O398,Tabela3[[Responsáveis ]], 0)), "Não encontrado")</f>
        <v>27</v>
      </c>
      <c r="O398" s="119" t="s">
        <v>174</v>
      </c>
      <c r="P398" s="103" t="s">
        <v>31</v>
      </c>
      <c r="Q398" s="116"/>
    </row>
    <row r="399" spans="1:17" ht="15" hidden="1" customHeight="1">
      <c r="A399" s="117">
        <f>IFERROR(INDEX(Tabela2[ID_Area], MATCH(B399,Tabela2[Area], 0)), "Não encontrado")</f>
        <v>1004</v>
      </c>
      <c r="B399" s="111" t="s">
        <v>15</v>
      </c>
      <c r="C399" s="103" t="s">
        <v>16</v>
      </c>
      <c r="D399" s="114">
        <f>IFERROR(INDEX(Metas!$D$2:$D$104, MATCH(E399,Metas!$E$2:$E$104, 0)), "Não encontrado")</f>
        <v>202</v>
      </c>
      <c r="E399" s="103" t="s">
        <v>185</v>
      </c>
      <c r="F399" s="103" t="s">
        <v>663</v>
      </c>
      <c r="G399" s="62" t="str">
        <f t="shared" ca="1" si="23"/>
        <v>Concluído</v>
      </c>
      <c r="H399" s="156">
        <v>45667</v>
      </c>
      <c r="I399" s="109">
        <v>1</v>
      </c>
      <c r="J399" s="53">
        <f t="shared" si="24"/>
        <v>3.3103448275862069</v>
      </c>
      <c r="K399" s="108">
        <v>45659</v>
      </c>
      <c r="L399" s="108">
        <v>45690</v>
      </c>
      <c r="M399" s="68">
        <f t="shared" si="25"/>
        <v>32</v>
      </c>
      <c r="N399" s="112">
        <f>IFERROR(INDEX(Tabela3[ID_Responsavel], MATCH(O399,Tabela3[[Responsáveis ]], 0)), "Não encontrado")</f>
        <v>3</v>
      </c>
      <c r="O399" s="143" t="s">
        <v>30</v>
      </c>
      <c r="P399" s="103" t="s">
        <v>31</v>
      </c>
      <c r="Q399" s="23"/>
    </row>
    <row r="400" spans="1:17" ht="15" hidden="1" customHeight="1">
      <c r="A400" s="113">
        <f>IFERROR(INDEX(Tabela2[ID_Area], MATCH(B400,Tabela2[Area], 0)), "Não encontrado")</f>
        <v>1004</v>
      </c>
      <c r="B400" s="111" t="s">
        <v>15</v>
      </c>
      <c r="C400" s="103" t="s">
        <v>16</v>
      </c>
      <c r="D400" s="114">
        <f>IFERROR(INDEX(Metas!$D$2:$D$104, MATCH(E400,Metas!$E$2:$E$104, 0)), "Não encontrado")</f>
        <v>202</v>
      </c>
      <c r="E400" s="103" t="s">
        <v>185</v>
      </c>
      <c r="F400" s="103" t="s">
        <v>664</v>
      </c>
      <c r="G400" s="62" t="str">
        <f t="shared" ca="1" si="23"/>
        <v>Concluído</v>
      </c>
      <c r="H400" s="156">
        <v>45672</v>
      </c>
      <c r="I400" s="109">
        <v>1</v>
      </c>
      <c r="J400" s="53">
        <f t="shared" si="24"/>
        <v>3.3103448275862069</v>
      </c>
      <c r="K400" s="108">
        <v>45659</v>
      </c>
      <c r="L400" s="108">
        <v>45690</v>
      </c>
      <c r="M400" s="68">
        <f t="shared" si="25"/>
        <v>32</v>
      </c>
      <c r="N400" s="112">
        <f>IFERROR(INDEX(Tabela3[ID_Responsavel], MATCH(O400,Tabela3[[Responsáveis ]], 0)), "Não encontrado")</f>
        <v>3</v>
      </c>
      <c r="O400" s="144" t="s">
        <v>30</v>
      </c>
      <c r="P400" s="103" t="s">
        <v>31</v>
      </c>
      <c r="Q400" s="23"/>
    </row>
    <row r="401" spans="1:17" ht="15" hidden="1" customHeight="1">
      <c r="A401" s="117">
        <f>IFERROR(INDEX(Tabela2[ID_Area], MATCH(B401,Tabela2[Area], 0)), "Não encontrado")</f>
        <v>1004</v>
      </c>
      <c r="B401" s="111" t="s">
        <v>15</v>
      </c>
      <c r="C401" s="103" t="s">
        <v>16</v>
      </c>
      <c r="D401" s="114">
        <f>IFERROR(INDEX(Metas!$D$2:$D$104, MATCH(E401,Metas!$E$2:$E$104, 0)), "Não encontrado")</f>
        <v>202</v>
      </c>
      <c r="E401" s="103" t="s">
        <v>185</v>
      </c>
      <c r="F401" s="103" t="s">
        <v>665</v>
      </c>
      <c r="G401" s="62" t="str">
        <f t="shared" ca="1" si="23"/>
        <v>Concluído</v>
      </c>
      <c r="H401" s="156">
        <v>45698</v>
      </c>
      <c r="I401" s="109">
        <v>1</v>
      </c>
      <c r="J401" s="53">
        <f t="shared" si="24"/>
        <v>3.827586206896552</v>
      </c>
      <c r="K401" s="108">
        <v>45672</v>
      </c>
      <c r="L401" s="108">
        <v>45708</v>
      </c>
      <c r="M401" s="68">
        <f t="shared" si="25"/>
        <v>37</v>
      </c>
      <c r="N401" s="112">
        <f>IFERROR(INDEX(Tabela3[ID_Responsavel], MATCH(O401,Tabela3[[Responsáveis ]], 0)), "Não encontrado")</f>
        <v>3</v>
      </c>
      <c r="O401" s="143" t="s">
        <v>30</v>
      </c>
      <c r="P401" s="103" t="s">
        <v>31</v>
      </c>
      <c r="Q401" s="23"/>
    </row>
    <row r="402" spans="1:17" ht="15" hidden="1" customHeight="1">
      <c r="A402" s="113">
        <f>IFERROR(INDEX(Tabela2[ID_Area], MATCH(B402,Tabela2[Area], 0)), "Não encontrado")</f>
        <v>1004</v>
      </c>
      <c r="B402" s="111" t="s">
        <v>15</v>
      </c>
      <c r="C402" s="103" t="s">
        <v>16</v>
      </c>
      <c r="D402" s="114">
        <f>IFERROR(INDEX(Metas!$D$2:$D$104, MATCH(E402,Metas!$E$2:$E$104, 0)), "Não encontrado")</f>
        <v>202</v>
      </c>
      <c r="E402" s="103" t="s">
        <v>185</v>
      </c>
      <c r="F402" s="103" t="s">
        <v>666</v>
      </c>
      <c r="G402" s="62" t="str">
        <f t="shared" ca="1" si="23"/>
        <v>Concluído</v>
      </c>
      <c r="H402" s="156">
        <v>45711</v>
      </c>
      <c r="I402" s="109">
        <v>1</v>
      </c>
      <c r="J402" s="53">
        <f t="shared" si="24"/>
        <v>5.5862068965517242</v>
      </c>
      <c r="K402" s="108">
        <v>45659</v>
      </c>
      <c r="L402" s="108">
        <v>45712</v>
      </c>
      <c r="M402" s="68">
        <f t="shared" si="25"/>
        <v>54</v>
      </c>
      <c r="N402" s="112">
        <f>IFERROR(INDEX(Tabela3[ID_Responsavel], MATCH(O402,Tabela3[[Responsáveis ]], 0)), "Não encontrado")</f>
        <v>3</v>
      </c>
      <c r="O402" s="144" t="s">
        <v>30</v>
      </c>
      <c r="P402" s="103" t="s">
        <v>31</v>
      </c>
      <c r="Q402" s="23"/>
    </row>
    <row r="403" spans="1:17" ht="15" hidden="1" customHeight="1">
      <c r="A403" s="117">
        <f>IFERROR(INDEX(Tabela2[ID_Area], MATCH(B403,Tabela2[Area], 0)), "Não encontrado")</f>
        <v>1004</v>
      </c>
      <c r="B403" s="111" t="s">
        <v>15</v>
      </c>
      <c r="C403" s="103" t="s">
        <v>16</v>
      </c>
      <c r="D403" s="114">
        <f>IFERROR(INDEX(Metas!$D$2:$D$104, MATCH(E403,Metas!$E$2:$E$104, 0)), "Não encontrado")</f>
        <v>202</v>
      </c>
      <c r="E403" s="103" t="s">
        <v>185</v>
      </c>
      <c r="F403" s="103" t="s">
        <v>667</v>
      </c>
      <c r="G403" s="62" t="str">
        <f t="shared" ca="1" si="23"/>
        <v>Concluído</v>
      </c>
      <c r="H403" s="156">
        <v>45715</v>
      </c>
      <c r="I403" s="109">
        <v>1</v>
      </c>
      <c r="J403" s="53">
        <f t="shared" si="24"/>
        <v>6</v>
      </c>
      <c r="K403" s="108">
        <v>45659</v>
      </c>
      <c r="L403" s="108">
        <v>45716</v>
      </c>
      <c r="M403" s="68">
        <f t="shared" si="25"/>
        <v>58</v>
      </c>
      <c r="N403" s="112">
        <f>IFERROR(INDEX(Tabela3[ID_Responsavel], MATCH(O403,Tabela3[[Responsáveis ]], 0)), "Não encontrado")</f>
        <v>3</v>
      </c>
      <c r="O403" s="143" t="s">
        <v>30</v>
      </c>
      <c r="P403" s="103" t="s">
        <v>31</v>
      </c>
      <c r="Q403" s="23"/>
    </row>
    <row r="404" spans="1:17" ht="15" hidden="1" customHeight="1">
      <c r="A404" s="113">
        <f>IFERROR(INDEX(Tabela2[ID_Area], MATCH(B404,Tabela2[Area], 0)), "Não encontrado")</f>
        <v>1004</v>
      </c>
      <c r="B404" s="111" t="s">
        <v>15</v>
      </c>
      <c r="C404" s="103" t="s">
        <v>16</v>
      </c>
      <c r="D404" s="114">
        <f>IFERROR(INDEX(Metas!$D$2:$D$104, MATCH(E404,Metas!$E$2:$E$104, 0)), "Não encontrado")</f>
        <v>202</v>
      </c>
      <c r="E404" s="103" t="s">
        <v>185</v>
      </c>
      <c r="F404" s="103" t="s">
        <v>668</v>
      </c>
      <c r="G404" s="62" t="str">
        <f t="shared" ca="1" si="23"/>
        <v>Concluído</v>
      </c>
      <c r="H404" s="156">
        <v>45980</v>
      </c>
      <c r="I404" s="109">
        <v>1</v>
      </c>
      <c r="J404" s="53">
        <f t="shared" si="24"/>
        <v>35.275862068965516</v>
      </c>
      <c r="K404" s="108">
        <v>45682</v>
      </c>
      <c r="L404" s="108">
        <v>46022</v>
      </c>
      <c r="M404" s="68">
        <f t="shared" si="25"/>
        <v>341</v>
      </c>
      <c r="N404" s="112">
        <f>IFERROR(INDEX(Tabela3[ID_Responsavel], MATCH(O404,Tabela3[[Responsáveis ]], 0)), "Não encontrado")</f>
        <v>3</v>
      </c>
      <c r="O404" s="144" t="s">
        <v>30</v>
      </c>
      <c r="P404" s="103" t="s">
        <v>31</v>
      </c>
      <c r="Q404" s="23" t="s">
        <v>685</v>
      </c>
    </row>
    <row r="405" spans="1:17" ht="15" hidden="1" customHeight="1">
      <c r="A405" s="117">
        <f>IFERROR(INDEX(Tabela2[ID_Area], MATCH(B405,Tabela2[Area], 0)), "Não encontrado")</f>
        <v>1004</v>
      </c>
      <c r="B405" s="111" t="s">
        <v>15</v>
      </c>
      <c r="C405" s="103" t="s">
        <v>16</v>
      </c>
      <c r="D405" s="114">
        <f>IFERROR(INDEX(Metas!$D$2:$D$104, MATCH(E405,Metas!$E$2:$E$104, 0)), "Não encontrado")</f>
        <v>202</v>
      </c>
      <c r="E405" s="103" t="s">
        <v>185</v>
      </c>
      <c r="F405" s="103" t="s">
        <v>669</v>
      </c>
      <c r="G405" s="62" t="str">
        <f t="shared" ca="1" si="23"/>
        <v>Concluído</v>
      </c>
      <c r="H405" s="156">
        <v>45680</v>
      </c>
      <c r="I405" s="109">
        <v>1</v>
      </c>
      <c r="J405" s="53">
        <f t="shared" si="24"/>
        <v>9.6206896551724128</v>
      </c>
      <c r="K405" s="108">
        <v>45659</v>
      </c>
      <c r="L405" s="108">
        <v>45751</v>
      </c>
      <c r="M405" s="68">
        <f t="shared" si="25"/>
        <v>93</v>
      </c>
      <c r="N405" s="112">
        <f>IFERROR(INDEX(Tabela3[ID_Responsavel], MATCH(O405,Tabela3[[Responsáveis ]], 0)), "Não encontrado")</f>
        <v>3</v>
      </c>
      <c r="O405" s="143" t="s">
        <v>30</v>
      </c>
      <c r="P405" s="103" t="s">
        <v>31</v>
      </c>
      <c r="Q405" s="23"/>
    </row>
    <row r="406" spans="1:17" ht="15" hidden="1" customHeight="1">
      <c r="A406" s="113">
        <f>IFERROR(INDEX(Tabela2[ID_Area], MATCH(B406,Tabela2[Area], 0)), "Não encontrado")</f>
        <v>1004</v>
      </c>
      <c r="B406" s="111" t="s">
        <v>15</v>
      </c>
      <c r="C406" s="103" t="s">
        <v>16</v>
      </c>
      <c r="D406" s="114">
        <f>IFERROR(INDEX(Metas!$D$2:$D$104, MATCH(E406,Metas!$E$2:$E$104, 0)), "Não encontrado")</f>
        <v>202</v>
      </c>
      <c r="E406" s="103" t="s">
        <v>185</v>
      </c>
      <c r="F406" s="103" t="s">
        <v>670</v>
      </c>
      <c r="G406" s="62" t="str">
        <f t="shared" ca="1" si="23"/>
        <v>Concluído</v>
      </c>
      <c r="H406" s="156">
        <v>45680</v>
      </c>
      <c r="I406" s="109">
        <v>1</v>
      </c>
      <c r="J406" s="53">
        <f t="shared" si="24"/>
        <v>6.3103448275862073</v>
      </c>
      <c r="K406" s="108">
        <v>45659</v>
      </c>
      <c r="L406" s="108">
        <v>45719</v>
      </c>
      <c r="M406" s="68">
        <f t="shared" si="25"/>
        <v>61</v>
      </c>
      <c r="N406" s="112">
        <f>IFERROR(INDEX(Tabela3[ID_Responsavel], MATCH(O406,Tabela3[[Responsáveis ]], 0)), "Não encontrado")</f>
        <v>3</v>
      </c>
      <c r="O406" s="144" t="s">
        <v>30</v>
      </c>
      <c r="P406" s="103" t="s">
        <v>31</v>
      </c>
      <c r="Q406" s="23"/>
    </row>
    <row r="407" spans="1:17" ht="15" hidden="1" customHeight="1">
      <c r="A407" s="117">
        <f>IFERROR(INDEX(Tabela2[ID_Area], MATCH(B407,Tabela2[Area], 0)), "Não encontrado")</f>
        <v>1004</v>
      </c>
      <c r="B407" s="111" t="s">
        <v>15</v>
      </c>
      <c r="C407" s="103" t="s">
        <v>16</v>
      </c>
      <c r="D407" s="114">
        <f>IFERROR(INDEX(Metas!$D$2:$D$104, MATCH(E407,Metas!$E$2:$E$104, 0)), "Não encontrado")</f>
        <v>202</v>
      </c>
      <c r="E407" s="103" t="s">
        <v>185</v>
      </c>
      <c r="F407" s="103" t="s">
        <v>671</v>
      </c>
      <c r="G407" s="62" t="str">
        <f t="shared" ref="G407:G438" ca="1" si="26">IF(I407=0,"Não iniciado",IF(I407=1,"Concluído",IF(TODAY()&gt;L407,"Atrasado","Em Andamento")))</f>
        <v>Concluído</v>
      </c>
      <c r="H407" s="156">
        <v>45687</v>
      </c>
      <c r="I407" s="109">
        <v>1</v>
      </c>
      <c r="J407" s="53">
        <f t="shared" si="24"/>
        <v>3.3103448275862069</v>
      </c>
      <c r="K407" s="108">
        <v>45720</v>
      </c>
      <c r="L407" s="108">
        <v>45751</v>
      </c>
      <c r="M407" s="68">
        <f t="shared" si="25"/>
        <v>32</v>
      </c>
      <c r="N407" s="112">
        <f>IFERROR(INDEX(Tabela3[ID_Responsavel], MATCH(O407,Tabela3[[Responsáveis ]], 0)), "Não encontrado")</f>
        <v>3</v>
      </c>
      <c r="O407" s="143" t="s">
        <v>30</v>
      </c>
      <c r="P407" s="103" t="s">
        <v>31</v>
      </c>
      <c r="Q407" s="23"/>
    </row>
    <row r="408" spans="1:17" ht="15" hidden="1" customHeight="1">
      <c r="A408" s="113">
        <f>IFERROR(INDEX(Tabela2[ID_Area], MATCH(B408,Tabela2[Area], 0)), "Não encontrado")</f>
        <v>1004</v>
      </c>
      <c r="B408" s="111" t="s">
        <v>15</v>
      </c>
      <c r="C408" s="103" t="s">
        <v>16</v>
      </c>
      <c r="D408" s="114">
        <f>IFERROR(INDEX(Metas!$D$2:$D$104, MATCH(E408,Metas!$E$2:$E$104, 0)), "Não encontrado")</f>
        <v>202</v>
      </c>
      <c r="E408" s="103" t="s">
        <v>185</v>
      </c>
      <c r="F408" s="103" t="s">
        <v>672</v>
      </c>
      <c r="G408" s="62" t="str">
        <f t="shared" ca="1" si="26"/>
        <v>Concluído</v>
      </c>
      <c r="H408" s="156">
        <v>45852</v>
      </c>
      <c r="I408" s="109">
        <v>1</v>
      </c>
      <c r="J408" s="53">
        <f t="shared" si="24"/>
        <v>21.724137931034484</v>
      </c>
      <c r="K408" s="108">
        <v>45659</v>
      </c>
      <c r="L408" s="108">
        <v>45868</v>
      </c>
      <c r="M408" s="68">
        <f t="shared" si="25"/>
        <v>210</v>
      </c>
      <c r="N408" s="112">
        <f>IFERROR(INDEX(Tabela3[ID_Responsavel], MATCH(O408,Tabela3[[Responsáveis ]], 0)), "Não encontrado")</f>
        <v>3</v>
      </c>
      <c r="O408" s="144" t="s">
        <v>30</v>
      </c>
      <c r="P408" s="103" t="s">
        <v>31</v>
      </c>
      <c r="Q408" s="23"/>
    </row>
    <row r="409" spans="1:17" ht="15" hidden="1" customHeight="1">
      <c r="A409" s="117">
        <f>IFERROR(INDEX(Tabela2[ID_Area], MATCH(B409,Tabela2[Area], 0)), "Não encontrado")</f>
        <v>1004</v>
      </c>
      <c r="B409" s="111" t="s">
        <v>15</v>
      </c>
      <c r="C409" s="103" t="s">
        <v>16</v>
      </c>
      <c r="D409" s="114">
        <f>IFERROR(INDEX(Metas!$D$2:$D$104, MATCH(E409,Metas!$E$2:$E$104, 0)), "Não encontrado")</f>
        <v>202</v>
      </c>
      <c r="E409" s="103" t="s">
        <v>185</v>
      </c>
      <c r="F409" s="103" t="s">
        <v>673</v>
      </c>
      <c r="G409" s="62" t="str">
        <f t="shared" ca="1" si="26"/>
        <v>Concluído</v>
      </c>
      <c r="H409" s="156">
        <v>45733</v>
      </c>
      <c r="I409" s="109">
        <v>1</v>
      </c>
      <c r="J409" s="53">
        <f t="shared" si="24"/>
        <v>8.068965517241379</v>
      </c>
      <c r="K409" s="108">
        <v>45659</v>
      </c>
      <c r="L409" s="108">
        <v>45736</v>
      </c>
      <c r="M409" s="68">
        <f t="shared" si="25"/>
        <v>78</v>
      </c>
      <c r="N409" s="112">
        <f>IFERROR(INDEX(Tabela3[ID_Responsavel], MATCH(O409,Tabela3[[Responsáveis ]], 0)), "Não encontrado")</f>
        <v>3</v>
      </c>
      <c r="O409" s="143" t="s">
        <v>30</v>
      </c>
      <c r="P409" s="103" t="s">
        <v>31</v>
      </c>
      <c r="Q409" s="23"/>
    </row>
    <row r="410" spans="1:17" ht="15" hidden="1" customHeight="1">
      <c r="A410" s="113">
        <f>IFERROR(INDEX(Tabela2[ID_Area], MATCH(B410,Tabela2[Area], 0)), "Não encontrado")</f>
        <v>1004</v>
      </c>
      <c r="B410" s="111" t="s">
        <v>15</v>
      </c>
      <c r="C410" s="103" t="s">
        <v>16</v>
      </c>
      <c r="D410" s="114">
        <f>IFERROR(INDEX(Metas!$D$2:$D$104, MATCH(E410,Metas!$E$2:$E$104, 0)), "Não encontrado")</f>
        <v>202</v>
      </c>
      <c r="E410" s="103" t="s">
        <v>185</v>
      </c>
      <c r="F410" s="103" t="s">
        <v>668</v>
      </c>
      <c r="G410" s="62" t="str">
        <f t="shared" ca="1" si="26"/>
        <v>Concluído</v>
      </c>
      <c r="H410" s="156">
        <v>45851</v>
      </c>
      <c r="I410" s="109">
        <v>1</v>
      </c>
      <c r="J410" s="53">
        <f t="shared" si="24"/>
        <v>13.655172413793103</v>
      </c>
      <c r="K410" s="108">
        <v>45737</v>
      </c>
      <c r="L410" s="108">
        <v>45868</v>
      </c>
      <c r="M410" s="68">
        <f t="shared" si="25"/>
        <v>132</v>
      </c>
      <c r="N410" s="112">
        <f>IFERROR(INDEX(Tabela3[ID_Responsavel], MATCH(O410,Tabela3[[Responsáveis ]], 0)), "Não encontrado")</f>
        <v>3</v>
      </c>
      <c r="O410" s="144" t="s">
        <v>30</v>
      </c>
      <c r="P410" s="103" t="s">
        <v>31</v>
      </c>
      <c r="Q410" s="23"/>
    </row>
    <row r="411" spans="1:17" ht="15" hidden="1" customHeight="1">
      <c r="A411" s="117">
        <f>IFERROR(INDEX(Tabela2[ID_Area], MATCH(B411,Tabela2[Area], 0)), "Não encontrado")</f>
        <v>1004</v>
      </c>
      <c r="B411" s="111" t="s">
        <v>15</v>
      </c>
      <c r="C411" s="103" t="s">
        <v>16</v>
      </c>
      <c r="D411" s="114">
        <f>IFERROR(INDEX(Metas!$D$2:$D$104, MATCH(E411,Metas!$E$2:$E$104, 0)), "Não encontrado")</f>
        <v>109</v>
      </c>
      <c r="E411" s="103" t="s">
        <v>36</v>
      </c>
      <c r="F411" s="103" t="s">
        <v>686</v>
      </c>
      <c r="G411" s="62" t="str">
        <f t="shared" ca="1" si="26"/>
        <v>Concluído</v>
      </c>
      <c r="H411" s="104"/>
      <c r="I411" s="109">
        <v>1</v>
      </c>
      <c r="J411" s="53">
        <f t="shared" si="24"/>
        <v>53.932584269662918</v>
      </c>
      <c r="K411" s="108">
        <v>45659</v>
      </c>
      <c r="L411" s="108">
        <v>45778</v>
      </c>
      <c r="M411" s="68">
        <f t="shared" si="25"/>
        <v>120</v>
      </c>
      <c r="N411" s="112">
        <f>IFERROR(INDEX(Tabela3[ID_Responsavel], MATCH(O411,Tabela3[[Responsáveis ]], 0)), "Não encontrado")</f>
        <v>3</v>
      </c>
      <c r="O411" s="143" t="s">
        <v>30</v>
      </c>
      <c r="P411" s="103" t="s">
        <v>31</v>
      </c>
      <c r="Q411" s="23"/>
    </row>
    <row r="412" spans="1:17" ht="15" hidden="1" customHeight="1">
      <c r="A412" s="113">
        <f>IFERROR(INDEX(Tabela2[ID_Area], MATCH(B412,Tabela2[Area], 0)), "Não encontrado")</f>
        <v>1004</v>
      </c>
      <c r="B412" s="111" t="s">
        <v>15</v>
      </c>
      <c r="C412" s="103" t="s">
        <v>16</v>
      </c>
      <c r="D412" s="114">
        <f>IFERROR(INDEX(Metas!$D$2:$D$104, MATCH(E412,Metas!$E$2:$E$104, 0)), "Não encontrado")</f>
        <v>109</v>
      </c>
      <c r="E412" s="103" t="s">
        <v>36</v>
      </c>
      <c r="F412" s="103" t="s">
        <v>687</v>
      </c>
      <c r="G412" s="62" t="str">
        <f t="shared" ca="1" si="26"/>
        <v>Concluído</v>
      </c>
      <c r="H412" s="104"/>
      <c r="I412" s="109">
        <v>1</v>
      </c>
      <c r="J412" s="53">
        <f t="shared" si="24"/>
        <v>14.382022471910112</v>
      </c>
      <c r="K412" s="108">
        <v>45659</v>
      </c>
      <c r="L412" s="108">
        <v>45690</v>
      </c>
      <c r="M412" s="68">
        <f t="shared" si="25"/>
        <v>32</v>
      </c>
      <c r="N412" s="112">
        <f>IFERROR(INDEX(Tabela3[ID_Responsavel], MATCH(O412,Tabela3[[Responsáveis ]], 0)), "Não encontrado")</f>
        <v>3</v>
      </c>
      <c r="O412" s="144" t="s">
        <v>30</v>
      </c>
      <c r="P412" s="103" t="s">
        <v>31</v>
      </c>
      <c r="Q412" s="23"/>
    </row>
    <row r="413" spans="1:17" ht="15" hidden="1" customHeight="1">
      <c r="A413" s="117">
        <f>IFERROR(INDEX(Tabela2[ID_Area], MATCH(B413,Tabela2[Area], 0)), "Não encontrado")</f>
        <v>1004</v>
      </c>
      <c r="B413" s="111" t="s">
        <v>15</v>
      </c>
      <c r="C413" s="103" t="s">
        <v>16</v>
      </c>
      <c r="D413" s="114">
        <f>IFERROR(INDEX(Metas!$D$2:$D$104, MATCH(E413,Metas!$E$2:$E$104, 0)), "Não encontrado")</f>
        <v>109</v>
      </c>
      <c r="E413" s="103" t="s">
        <v>36</v>
      </c>
      <c r="F413" s="103" t="s">
        <v>688</v>
      </c>
      <c r="G413" s="62" t="str">
        <f t="shared" ca="1" si="26"/>
        <v>Concluído</v>
      </c>
      <c r="H413" s="104"/>
      <c r="I413" s="109">
        <v>1</v>
      </c>
      <c r="J413" s="53">
        <f t="shared" si="24"/>
        <v>9.8876404494382015</v>
      </c>
      <c r="K413" s="108">
        <v>45691</v>
      </c>
      <c r="L413" s="108">
        <v>45712</v>
      </c>
      <c r="M413" s="68">
        <f t="shared" si="25"/>
        <v>22</v>
      </c>
      <c r="N413" s="112">
        <f>IFERROR(INDEX(Tabela3[ID_Responsavel], MATCH(O413,Tabela3[[Responsáveis ]], 0)), "Não encontrado")</f>
        <v>3</v>
      </c>
      <c r="O413" s="143" t="s">
        <v>30</v>
      </c>
      <c r="P413" s="103" t="s">
        <v>31</v>
      </c>
      <c r="Q413" s="23"/>
    </row>
    <row r="414" spans="1:17" ht="15" hidden="1" customHeight="1">
      <c r="A414" s="113">
        <f>IFERROR(INDEX(Tabela2[ID_Area], MATCH(B414,Tabela2[Area], 0)), "Não encontrado")</f>
        <v>1004</v>
      </c>
      <c r="B414" s="111" t="s">
        <v>15</v>
      </c>
      <c r="C414" s="103" t="s">
        <v>16</v>
      </c>
      <c r="D414" s="114">
        <f>IFERROR(INDEX(Metas!$D$2:$D$104, MATCH(E414,Metas!$E$2:$E$104, 0)), "Não encontrado")</f>
        <v>109</v>
      </c>
      <c r="E414" s="103" t="s">
        <v>36</v>
      </c>
      <c r="F414" s="103" t="s">
        <v>689</v>
      </c>
      <c r="G414" s="62" t="str">
        <f t="shared" ca="1" si="26"/>
        <v>Concluído</v>
      </c>
      <c r="H414" s="104"/>
      <c r="I414" s="109">
        <v>1</v>
      </c>
      <c r="J414" s="53">
        <f t="shared" si="24"/>
        <v>36.404494382022477</v>
      </c>
      <c r="K414" s="108">
        <v>45713</v>
      </c>
      <c r="L414" s="108">
        <v>45793</v>
      </c>
      <c r="M414" s="68">
        <f t="shared" si="25"/>
        <v>81</v>
      </c>
      <c r="N414" s="112">
        <f>IFERROR(INDEX(Tabela3[ID_Responsavel], MATCH(O414,Tabela3[[Responsáveis ]], 0)), "Não encontrado")</f>
        <v>3</v>
      </c>
      <c r="O414" s="144" t="s">
        <v>30</v>
      </c>
      <c r="P414" s="103" t="s">
        <v>31</v>
      </c>
      <c r="Q414" s="23"/>
    </row>
    <row r="415" spans="1:17" ht="15" hidden="1" customHeight="1">
      <c r="A415" s="117">
        <f>IFERROR(INDEX(Tabela2[ID_Area], MATCH(B415,Tabela2[Area], 0)), "Não encontrado")</f>
        <v>1004</v>
      </c>
      <c r="B415" s="111" t="s">
        <v>15</v>
      </c>
      <c r="C415" s="103" t="s">
        <v>16</v>
      </c>
      <c r="D415" s="114">
        <f>IFERROR(INDEX(Metas!$D$2:$D$104, MATCH(E415,Metas!$E$2:$E$104, 0)), "Não encontrado")</f>
        <v>109</v>
      </c>
      <c r="E415" s="103" t="s">
        <v>36</v>
      </c>
      <c r="F415" s="103" t="s">
        <v>690</v>
      </c>
      <c r="G415" s="62" t="str">
        <f t="shared" ca="1" si="26"/>
        <v>Concluído</v>
      </c>
      <c r="H415" s="104"/>
      <c r="I415" s="109">
        <v>1</v>
      </c>
      <c r="J415" s="53">
        <f t="shared" si="24"/>
        <v>5.393258426966292</v>
      </c>
      <c r="K415" s="108">
        <v>45796</v>
      </c>
      <c r="L415" s="108">
        <v>45807</v>
      </c>
      <c r="M415" s="68">
        <f t="shared" si="25"/>
        <v>12</v>
      </c>
      <c r="N415" s="112">
        <f>IFERROR(INDEX(Tabela3[ID_Responsavel], MATCH(O415,Tabela3[[Responsáveis ]], 0)), "Não encontrado")</f>
        <v>3</v>
      </c>
      <c r="O415" s="143" t="s">
        <v>30</v>
      </c>
      <c r="P415" s="103" t="s">
        <v>31</v>
      </c>
      <c r="Q415" s="23" t="s">
        <v>691</v>
      </c>
    </row>
    <row r="416" spans="1:17" ht="15" hidden="1" customHeight="1">
      <c r="A416" s="113">
        <f>IFERROR(INDEX(Tabela2[ID_Area], MATCH(B416,Tabela2[Area], 0)), "Não encontrado")</f>
        <v>1004</v>
      </c>
      <c r="B416" s="111" t="s">
        <v>15</v>
      </c>
      <c r="C416" s="103" t="s">
        <v>33</v>
      </c>
      <c r="D416" s="114">
        <f>IFERROR(INDEX(Metas!$D$2:$D$104, MATCH(E416,Metas!$E$2:$E$104, 0)), "Não encontrado")</f>
        <v>105</v>
      </c>
      <c r="E416" s="103" t="s">
        <v>29</v>
      </c>
      <c r="F416" s="103" t="s">
        <v>692</v>
      </c>
      <c r="G416" s="62" t="str">
        <f t="shared" ca="1" si="26"/>
        <v>Concluído</v>
      </c>
      <c r="H416" s="156">
        <v>45659</v>
      </c>
      <c r="I416" s="109">
        <v>1</v>
      </c>
      <c r="J416" s="53">
        <f t="shared" si="24"/>
        <v>2.0202020202020203</v>
      </c>
      <c r="K416" s="108">
        <v>45659</v>
      </c>
      <c r="L416" s="108">
        <v>45663</v>
      </c>
      <c r="M416" s="68">
        <f t="shared" si="25"/>
        <v>5</v>
      </c>
      <c r="N416" s="112">
        <f>IFERROR(INDEX(Tabela3[ID_Responsavel], MATCH(O416,Tabela3[[Responsáveis ]], 0)), "Não encontrado")</f>
        <v>3</v>
      </c>
      <c r="O416" s="144" t="s">
        <v>30</v>
      </c>
      <c r="P416" s="103" t="s">
        <v>31</v>
      </c>
      <c r="Q416" s="23"/>
    </row>
    <row r="417" spans="1:17" ht="15" hidden="1" customHeight="1">
      <c r="A417" s="117">
        <f>IFERROR(INDEX(Tabela2[ID_Area], MATCH(B417,Tabela2[Area], 0)), "Não encontrado")</f>
        <v>1004</v>
      </c>
      <c r="B417" s="111" t="s">
        <v>15</v>
      </c>
      <c r="C417" s="103" t="s">
        <v>33</v>
      </c>
      <c r="D417" s="114">
        <f>IFERROR(INDEX(Metas!$D$2:$D$104, MATCH(E417,Metas!$E$2:$E$104, 0)), "Não encontrado")</f>
        <v>105</v>
      </c>
      <c r="E417" s="103" t="s">
        <v>29</v>
      </c>
      <c r="F417" s="103" t="s">
        <v>693</v>
      </c>
      <c r="G417" s="62" t="str">
        <f t="shared" ca="1" si="26"/>
        <v>Concluído</v>
      </c>
      <c r="H417" s="156">
        <v>45659</v>
      </c>
      <c r="I417" s="109">
        <v>1</v>
      </c>
      <c r="J417" s="53">
        <f t="shared" si="24"/>
        <v>2.0202020202020203</v>
      </c>
      <c r="K417" s="108">
        <v>45659</v>
      </c>
      <c r="L417" s="108">
        <v>45663</v>
      </c>
      <c r="M417" s="68">
        <f t="shared" si="25"/>
        <v>5</v>
      </c>
      <c r="N417" s="112">
        <f>IFERROR(INDEX(Tabela3[ID_Responsavel], MATCH(O417,Tabela3[[Responsáveis ]], 0)), "Não encontrado")</f>
        <v>3</v>
      </c>
      <c r="O417" s="143" t="s">
        <v>30</v>
      </c>
      <c r="P417" s="103" t="s">
        <v>31</v>
      </c>
      <c r="Q417" s="23"/>
    </row>
    <row r="418" spans="1:17" ht="15" hidden="1" customHeight="1">
      <c r="A418" s="113">
        <f>IFERROR(INDEX(Tabela2[ID_Area], MATCH(B418,Tabela2[Area], 0)), "Não encontrado")</f>
        <v>1004</v>
      </c>
      <c r="B418" s="111" t="s">
        <v>15</v>
      </c>
      <c r="C418" s="103" t="s">
        <v>33</v>
      </c>
      <c r="D418" s="114">
        <f>IFERROR(INDEX(Metas!$D$2:$D$104, MATCH(E418,Metas!$E$2:$E$104, 0)), "Não encontrado")</f>
        <v>105</v>
      </c>
      <c r="E418" s="103" t="s">
        <v>29</v>
      </c>
      <c r="F418" s="103" t="s">
        <v>694</v>
      </c>
      <c r="G418" s="62" t="str">
        <f t="shared" ca="1" si="26"/>
        <v>Concluído</v>
      </c>
      <c r="H418" s="156">
        <v>45688</v>
      </c>
      <c r="I418" s="109">
        <v>1</v>
      </c>
      <c r="J418" s="53">
        <f t="shared" si="24"/>
        <v>10.505050505050505</v>
      </c>
      <c r="K418" s="108">
        <v>45663</v>
      </c>
      <c r="L418" s="108">
        <v>45688</v>
      </c>
      <c r="M418" s="68">
        <f t="shared" si="25"/>
        <v>26</v>
      </c>
      <c r="N418" s="112">
        <f>IFERROR(INDEX(Tabela3[ID_Responsavel], MATCH(O418,Tabela3[[Responsáveis ]], 0)), "Não encontrado")</f>
        <v>3</v>
      </c>
      <c r="O418" s="144" t="s">
        <v>30</v>
      </c>
      <c r="P418" s="103" t="s">
        <v>31</v>
      </c>
      <c r="Q418" s="23"/>
    </row>
    <row r="419" spans="1:17" ht="15" hidden="1" customHeight="1">
      <c r="A419" s="117">
        <f>IFERROR(INDEX(Tabela2[ID_Area], MATCH(B419,Tabela2[Area], 0)), "Não encontrado")</f>
        <v>1004</v>
      </c>
      <c r="B419" s="111" t="s">
        <v>15</v>
      </c>
      <c r="C419" s="103" t="s">
        <v>33</v>
      </c>
      <c r="D419" s="114">
        <f>IFERROR(INDEX(Metas!$D$2:$D$104, MATCH(E419,Metas!$E$2:$E$104, 0)), "Não encontrado")</f>
        <v>105</v>
      </c>
      <c r="E419" s="103" t="s">
        <v>29</v>
      </c>
      <c r="F419" s="103" t="s">
        <v>695</v>
      </c>
      <c r="G419" s="62" t="str">
        <f t="shared" ca="1" si="26"/>
        <v>Concluído</v>
      </c>
      <c r="H419" s="156">
        <v>45692</v>
      </c>
      <c r="I419" s="109">
        <v>1</v>
      </c>
      <c r="J419" s="53">
        <f t="shared" si="24"/>
        <v>0.80808080808080807</v>
      </c>
      <c r="K419" s="108">
        <v>45691</v>
      </c>
      <c r="L419" s="108">
        <v>45692</v>
      </c>
      <c r="M419" s="68">
        <f t="shared" si="25"/>
        <v>2</v>
      </c>
      <c r="N419" s="112">
        <f>IFERROR(INDEX(Tabela3[ID_Responsavel], MATCH(O419,Tabela3[[Responsáveis ]], 0)), "Não encontrado")</f>
        <v>3</v>
      </c>
      <c r="O419" s="143" t="s">
        <v>30</v>
      </c>
      <c r="P419" s="103" t="s">
        <v>31</v>
      </c>
      <c r="Q419" s="23"/>
    </row>
    <row r="420" spans="1:17" ht="15" hidden="1" customHeight="1">
      <c r="A420" s="113">
        <f>IFERROR(INDEX(Tabela2[ID_Area], MATCH(B420,Tabela2[Area], 0)), "Não encontrado")</f>
        <v>1004</v>
      </c>
      <c r="B420" s="111" t="s">
        <v>15</v>
      </c>
      <c r="C420" s="103" t="s">
        <v>33</v>
      </c>
      <c r="D420" s="114">
        <f>IFERROR(INDEX(Metas!$D$2:$D$104, MATCH(E420,Metas!$E$2:$E$104, 0)), "Não encontrado")</f>
        <v>105</v>
      </c>
      <c r="E420" s="103" t="s">
        <v>29</v>
      </c>
      <c r="F420" s="103" t="s">
        <v>696</v>
      </c>
      <c r="G420" s="62" t="str">
        <f t="shared" ca="1" si="26"/>
        <v>Concluído</v>
      </c>
      <c r="H420" s="156">
        <v>45702</v>
      </c>
      <c r="I420" s="109">
        <v>1</v>
      </c>
      <c r="J420" s="53">
        <f t="shared" si="24"/>
        <v>23.838383838383841</v>
      </c>
      <c r="K420" s="108">
        <v>45693</v>
      </c>
      <c r="L420" s="108">
        <v>45751</v>
      </c>
      <c r="M420" s="68">
        <f t="shared" si="25"/>
        <v>59</v>
      </c>
      <c r="N420" s="112">
        <f>IFERROR(INDEX(Tabela3[ID_Responsavel], MATCH(O420,Tabela3[[Responsáveis ]], 0)), "Não encontrado")</f>
        <v>3</v>
      </c>
      <c r="O420" s="144" t="s">
        <v>30</v>
      </c>
      <c r="P420" s="103" t="s">
        <v>31</v>
      </c>
      <c r="Q420" s="23"/>
    </row>
    <row r="421" spans="1:17" ht="15" hidden="1" customHeight="1">
      <c r="A421" s="117">
        <f>IFERROR(INDEX(Tabela2[ID_Area], MATCH(B421,Tabela2[Area], 0)), "Não encontrado")</f>
        <v>1004</v>
      </c>
      <c r="B421" s="111" t="s">
        <v>15</v>
      </c>
      <c r="C421" s="103" t="s">
        <v>33</v>
      </c>
      <c r="D421" s="114">
        <f>IFERROR(INDEX(Metas!$D$2:$D$104, MATCH(E421,Metas!$E$2:$E$104, 0)), "Não encontrado")</f>
        <v>105</v>
      </c>
      <c r="E421" s="103" t="s">
        <v>29</v>
      </c>
      <c r="F421" s="103" t="s">
        <v>697</v>
      </c>
      <c r="G421" s="62" t="str">
        <f t="shared" ca="1" si="26"/>
        <v>Concluído</v>
      </c>
      <c r="H421" s="104"/>
      <c r="I421" s="109">
        <v>1</v>
      </c>
      <c r="J421" s="53">
        <f t="shared" si="24"/>
        <v>21.01010101010101</v>
      </c>
      <c r="K421" s="108">
        <v>45700</v>
      </c>
      <c r="L421" s="108">
        <v>45751</v>
      </c>
      <c r="M421" s="68">
        <f t="shared" si="25"/>
        <v>52</v>
      </c>
      <c r="N421" s="112">
        <f>IFERROR(INDEX(Tabela3[ID_Responsavel], MATCH(O421,Tabela3[[Responsáveis ]], 0)), "Não encontrado")</f>
        <v>3</v>
      </c>
      <c r="O421" s="143" t="s">
        <v>30</v>
      </c>
      <c r="P421" s="103" t="s">
        <v>31</v>
      </c>
      <c r="Q421" s="23" t="s">
        <v>698</v>
      </c>
    </row>
    <row r="422" spans="1:17" ht="15" hidden="1" customHeight="1">
      <c r="A422" s="113">
        <f>IFERROR(INDEX(Tabela2[ID_Area], MATCH(B422,Tabela2[Area], 0)), "Não encontrado")</f>
        <v>1004</v>
      </c>
      <c r="B422" s="111" t="s">
        <v>15</v>
      </c>
      <c r="C422" s="103" t="s">
        <v>33</v>
      </c>
      <c r="D422" s="114">
        <f>IFERROR(INDEX(Metas!$D$2:$D$104, MATCH(E422,Metas!$E$2:$E$104, 0)), "Não encontrado")</f>
        <v>105</v>
      </c>
      <c r="E422" s="103" t="s">
        <v>29</v>
      </c>
      <c r="F422" s="103" t="s">
        <v>699</v>
      </c>
      <c r="G422" s="62" t="str">
        <f t="shared" ca="1" si="26"/>
        <v>Concluído</v>
      </c>
      <c r="H422" s="104" t="s">
        <v>700</v>
      </c>
      <c r="I422" s="109">
        <v>1</v>
      </c>
      <c r="J422" s="53">
        <f t="shared" si="24"/>
        <v>59.797979797979799</v>
      </c>
      <c r="K422" s="108">
        <v>45754</v>
      </c>
      <c r="L422" s="108">
        <v>45901</v>
      </c>
      <c r="M422" s="68">
        <f t="shared" si="25"/>
        <v>148</v>
      </c>
      <c r="N422" s="112">
        <f>IFERROR(INDEX(Tabela3[ID_Responsavel], MATCH(O422,Tabela3[[Responsáveis ]], 0)), "Não encontrado")</f>
        <v>3</v>
      </c>
      <c r="O422" s="144" t="s">
        <v>30</v>
      </c>
      <c r="P422" s="103" t="s">
        <v>31</v>
      </c>
      <c r="Q422" s="23" t="s">
        <v>701</v>
      </c>
    </row>
    <row r="423" spans="1:17" ht="15" hidden="1" customHeight="1">
      <c r="A423" s="117">
        <f>IFERROR(INDEX(Tabela2[ID_Area], MATCH(B423,Tabela2[Area], 0)), "Não encontrado")</f>
        <v>1004</v>
      </c>
      <c r="B423" s="111" t="s">
        <v>15</v>
      </c>
      <c r="C423" s="103" t="s">
        <v>702</v>
      </c>
      <c r="D423" s="114">
        <f>IFERROR(INDEX(Metas!$D$2:$D$104, MATCH(E423,Metas!$E$2:$E$104, 0)), "Não encontrado")</f>
        <v>106</v>
      </c>
      <c r="E423" s="103" t="s">
        <v>32</v>
      </c>
      <c r="F423" s="103" t="s">
        <v>703</v>
      </c>
      <c r="G423" s="62" t="str">
        <f t="shared" ca="1" si="26"/>
        <v>Concluído</v>
      </c>
      <c r="H423" s="156">
        <v>45901</v>
      </c>
      <c r="I423" s="109">
        <v>1</v>
      </c>
      <c r="J423" s="53">
        <f t="shared" si="24"/>
        <v>29.78102189781022</v>
      </c>
      <c r="K423" s="108">
        <v>45912</v>
      </c>
      <c r="L423" s="108">
        <v>45945</v>
      </c>
      <c r="M423" s="68">
        <f t="shared" si="25"/>
        <v>34</v>
      </c>
      <c r="N423" s="112">
        <f>IFERROR(INDEX(Tabela3[ID_Responsavel], MATCH(O423,Tabela3[[Responsáveis ]], 0)), "Não encontrado")</f>
        <v>3</v>
      </c>
      <c r="O423" s="143" t="s">
        <v>30</v>
      </c>
      <c r="P423" s="103" t="s">
        <v>31</v>
      </c>
      <c r="Q423" s="23"/>
    </row>
    <row r="424" spans="1:17" ht="15" hidden="1" customHeight="1">
      <c r="A424" s="113">
        <f>IFERROR(INDEX(Tabela2[ID_Area], MATCH(B424,Tabela2[Area], 0)), "Não encontrado")</f>
        <v>1004</v>
      </c>
      <c r="B424" s="111" t="s">
        <v>15</v>
      </c>
      <c r="C424" s="103" t="s">
        <v>702</v>
      </c>
      <c r="D424" s="114">
        <f>IFERROR(INDEX(Metas!$D$2:$D$104, MATCH(E424,Metas!$E$2:$E$104, 0)), "Não encontrado")</f>
        <v>106</v>
      </c>
      <c r="E424" s="103" t="s">
        <v>32</v>
      </c>
      <c r="F424" s="103" t="s">
        <v>704</v>
      </c>
      <c r="G424" s="62" t="str">
        <f t="shared" ca="1" si="26"/>
        <v>Concluído</v>
      </c>
      <c r="H424" s="156">
        <v>45968</v>
      </c>
      <c r="I424" s="109">
        <v>1</v>
      </c>
      <c r="J424" s="53">
        <f t="shared" si="24"/>
        <v>56.934306569343065</v>
      </c>
      <c r="K424" s="108">
        <v>45912</v>
      </c>
      <c r="L424" s="108">
        <v>45976</v>
      </c>
      <c r="M424" s="68">
        <f t="shared" si="25"/>
        <v>65</v>
      </c>
      <c r="N424" s="112">
        <f>IFERROR(INDEX(Tabela3[ID_Responsavel], MATCH(O424,Tabela3[[Responsáveis ]], 0)), "Não encontrado")</f>
        <v>3</v>
      </c>
      <c r="O424" s="144" t="s">
        <v>30</v>
      </c>
      <c r="P424" s="103" t="s">
        <v>31</v>
      </c>
      <c r="Q424" s="23"/>
    </row>
    <row r="425" spans="1:17" ht="15" hidden="1" customHeight="1">
      <c r="A425" s="117">
        <f>IFERROR(INDEX(Tabela2[ID_Area], MATCH(B425,Tabela2[Area], 0)), "Não encontrado")</f>
        <v>1004</v>
      </c>
      <c r="B425" s="111" t="s">
        <v>15</v>
      </c>
      <c r="C425" s="103" t="s">
        <v>702</v>
      </c>
      <c r="D425" s="114">
        <f>IFERROR(INDEX(Metas!$D$2:$D$104, MATCH(E425,Metas!$E$2:$E$104, 0)), "Não encontrado")</f>
        <v>106</v>
      </c>
      <c r="E425" s="103" t="s">
        <v>32</v>
      </c>
      <c r="F425" s="103" t="s">
        <v>705</v>
      </c>
      <c r="G425" s="62" t="str">
        <f t="shared" ca="1" si="26"/>
        <v>Concluído</v>
      </c>
      <c r="H425" s="156">
        <v>45968</v>
      </c>
      <c r="I425" s="109">
        <v>1</v>
      </c>
      <c r="J425" s="53">
        <f t="shared" si="24"/>
        <v>14.014598540145984</v>
      </c>
      <c r="K425" s="108">
        <v>45976</v>
      </c>
      <c r="L425" s="108">
        <v>45991</v>
      </c>
      <c r="M425" s="68">
        <f t="shared" si="25"/>
        <v>16</v>
      </c>
      <c r="N425" s="112">
        <f>IFERROR(INDEX(Tabela3[ID_Responsavel], MATCH(O425,Tabela3[[Responsáveis ]], 0)), "Não encontrado")</f>
        <v>3</v>
      </c>
      <c r="O425" s="143" t="s">
        <v>30</v>
      </c>
      <c r="P425" s="103" t="s">
        <v>31</v>
      </c>
      <c r="Q425" s="23"/>
    </row>
    <row r="426" spans="1:17" ht="15" hidden="1" customHeight="1">
      <c r="A426" s="113">
        <f>IFERROR(INDEX(Tabela2[ID_Area], MATCH(B426,Tabela2[Area], 0)), "Não encontrado")</f>
        <v>1004</v>
      </c>
      <c r="B426" s="111" t="s">
        <v>15</v>
      </c>
      <c r="C426" s="103" t="s">
        <v>702</v>
      </c>
      <c r="D426" s="114">
        <f>IFERROR(INDEX(Metas!$D$2:$D$104, MATCH(E426,Metas!$E$2:$E$104, 0)), "Não encontrado")</f>
        <v>106</v>
      </c>
      <c r="E426" s="103" t="s">
        <v>32</v>
      </c>
      <c r="F426" s="103" t="s">
        <v>706</v>
      </c>
      <c r="G426" s="62" t="str">
        <f t="shared" ca="1" si="26"/>
        <v>Concluído</v>
      </c>
      <c r="H426" s="156">
        <v>45994</v>
      </c>
      <c r="I426" s="109">
        <v>1</v>
      </c>
      <c r="J426" s="53">
        <f t="shared" si="24"/>
        <v>19.270072992700729</v>
      </c>
      <c r="K426" s="108">
        <v>45992</v>
      </c>
      <c r="L426" s="108">
        <v>46013</v>
      </c>
      <c r="M426" s="68">
        <f t="shared" si="25"/>
        <v>22</v>
      </c>
      <c r="N426" s="112">
        <f>IFERROR(INDEX(Tabela3[ID_Responsavel], MATCH(O426,Tabela3[[Responsáveis ]], 0)), "Não encontrado")</f>
        <v>3</v>
      </c>
      <c r="O426" s="144" t="s">
        <v>30</v>
      </c>
      <c r="P426" s="103" t="s">
        <v>31</v>
      </c>
      <c r="Q426" s="23" t="s">
        <v>707</v>
      </c>
    </row>
    <row r="427" spans="1:17" ht="15" hidden="1" customHeight="1">
      <c r="A427" s="117">
        <f>IFERROR(INDEX(Tabela2[ID_Area], MATCH(B427,Tabela2[Area], 0)), "Não encontrado")</f>
        <v>1004</v>
      </c>
      <c r="B427" s="111" t="s">
        <v>15</v>
      </c>
      <c r="C427" s="103" t="s">
        <v>33</v>
      </c>
      <c r="D427" s="114">
        <f>IFERROR(INDEX(Metas!$D$2:$D$104, MATCH(E427,Metas!$E$2:$E$104, 0)), "Não encontrado")</f>
        <v>107</v>
      </c>
      <c r="E427" s="103" t="s">
        <v>34</v>
      </c>
      <c r="F427" s="103" t="s">
        <v>708</v>
      </c>
      <c r="G427" s="62" t="str">
        <f t="shared" ca="1" si="26"/>
        <v>Concluído</v>
      </c>
      <c r="H427" s="156">
        <v>45930</v>
      </c>
      <c r="I427" s="109">
        <v>1</v>
      </c>
      <c r="J427" s="53">
        <f t="shared" si="24"/>
        <v>8.8019559902200495</v>
      </c>
      <c r="K427" s="108">
        <v>45748</v>
      </c>
      <c r="L427" s="108">
        <v>45777</v>
      </c>
      <c r="M427" s="68">
        <f t="shared" si="25"/>
        <v>30</v>
      </c>
      <c r="N427" s="112">
        <f>IFERROR(INDEX(Tabela3[ID_Responsavel], MATCH(O427,Tabela3[[Responsáveis ]], 0)), "Não encontrado")</f>
        <v>3</v>
      </c>
      <c r="O427" s="143" t="s">
        <v>30</v>
      </c>
      <c r="P427" s="103" t="s">
        <v>31</v>
      </c>
      <c r="Q427" s="23"/>
    </row>
    <row r="428" spans="1:17" ht="15" hidden="1" customHeight="1">
      <c r="A428" s="113">
        <f>IFERROR(INDEX(Tabela2[ID_Area], MATCH(B428,Tabela2[Area], 0)), "Não encontrado")</f>
        <v>1004</v>
      </c>
      <c r="B428" s="111" t="s">
        <v>15</v>
      </c>
      <c r="C428" s="103" t="s">
        <v>33</v>
      </c>
      <c r="D428" s="114">
        <f>IFERROR(INDEX(Metas!$D$2:$D$104, MATCH(E428,Metas!$E$2:$E$104, 0)), "Não encontrado")</f>
        <v>107</v>
      </c>
      <c r="E428" s="103" t="s">
        <v>34</v>
      </c>
      <c r="F428" s="103" t="s">
        <v>709</v>
      </c>
      <c r="G428" s="62" t="str">
        <f t="shared" ca="1" si="26"/>
        <v>Concluído</v>
      </c>
      <c r="H428" s="156">
        <v>45930</v>
      </c>
      <c r="I428" s="109">
        <v>1</v>
      </c>
      <c r="J428" s="53">
        <f t="shared" si="24"/>
        <v>40.78239608801956</v>
      </c>
      <c r="K428" s="108">
        <v>45777</v>
      </c>
      <c r="L428" s="108">
        <v>45915</v>
      </c>
      <c r="M428" s="68">
        <f t="shared" si="25"/>
        <v>139</v>
      </c>
      <c r="N428" s="112">
        <f>IFERROR(INDEX(Tabela3[ID_Responsavel], MATCH(O428,Tabela3[[Responsáveis ]], 0)), "Não encontrado")</f>
        <v>3</v>
      </c>
      <c r="O428" s="144" t="s">
        <v>30</v>
      </c>
      <c r="P428" s="103" t="s">
        <v>31</v>
      </c>
      <c r="Q428" s="23"/>
    </row>
    <row r="429" spans="1:17" ht="15" hidden="1" customHeight="1">
      <c r="A429" s="117">
        <f>IFERROR(INDEX(Tabela2[ID_Area], MATCH(B429,Tabela2[Area], 0)), "Não encontrado")</f>
        <v>1004</v>
      </c>
      <c r="B429" s="111" t="s">
        <v>15</v>
      </c>
      <c r="C429" s="103" t="s">
        <v>33</v>
      </c>
      <c r="D429" s="114">
        <f>IFERROR(INDEX(Metas!$D$2:$D$104, MATCH(E429,Metas!$E$2:$E$104, 0)), "Não encontrado")</f>
        <v>107</v>
      </c>
      <c r="E429" s="103" t="s">
        <v>34</v>
      </c>
      <c r="F429" s="103" t="s">
        <v>710</v>
      </c>
      <c r="G429" s="62" t="str">
        <f t="shared" ca="1" si="26"/>
        <v>Concluído</v>
      </c>
      <c r="H429" s="156">
        <v>45930</v>
      </c>
      <c r="I429" s="109">
        <v>1</v>
      </c>
      <c r="J429" s="53">
        <f t="shared" si="24"/>
        <v>4.9877750611246938</v>
      </c>
      <c r="K429" s="108">
        <v>45792</v>
      </c>
      <c r="L429" s="108">
        <v>45808</v>
      </c>
      <c r="M429" s="68">
        <f t="shared" si="25"/>
        <v>17</v>
      </c>
      <c r="N429" s="112">
        <f>IFERROR(INDEX(Tabela3[ID_Responsavel], MATCH(O429,Tabela3[[Responsáveis ]], 0)), "Não encontrado")</f>
        <v>3</v>
      </c>
      <c r="O429" s="143" t="s">
        <v>30</v>
      </c>
      <c r="P429" s="103" t="s">
        <v>31</v>
      </c>
      <c r="Q429" s="23"/>
    </row>
    <row r="430" spans="1:17" ht="15" hidden="1" customHeight="1">
      <c r="A430" s="113">
        <f>IFERROR(INDEX(Tabela2[ID_Area], MATCH(B430,Tabela2[Area], 0)), "Não encontrado")</f>
        <v>1004</v>
      </c>
      <c r="B430" s="111" t="s">
        <v>15</v>
      </c>
      <c r="C430" s="103" t="s">
        <v>33</v>
      </c>
      <c r="D430" s="114">
        <f>IFERROR(INDEX(Metas!$D$2:$D$104, MATCH(E430,Metas!$E$2:$E$104, 0)), "Não encontrado")</f>
        <v>107</v>
      </c>
      <c r="E430" s="103" t="s">
        <v>34</v>
      </c>
      <c r="F430" s="103" t="s">
        <v>711</v>
      </c>
      <c r="G430" s="62" t="str">
        <f t="shared" ca="1" si="26"/>
        <v>Concluído</v>
      </c>
      <c r="H430" s="156">
        <v>46010</v>
      </c>
      <c r="I430" s="109">
        <v>1</v>
      </c>
      <c r="J430" s="53">
        <f t="shared" si="24"/>
        <v>33.154034229828852</v>
      </c>
      <c r="K430" s="108">
        <v>45823</v>
      </c>
      <c r="L430" s="108">
        <v>45935</v>
      </c>
      <c r="M430" s="68">
        <f t="shared" si="25"/>
        <v>113</v>
      </c>
      <c r="N430" s="112">
        <f>IFERROR(INDEX(Tabela3[ID_Responsavel], MATCH(O430,Tabela3[[Responsáveis ]], 0)), "Não encontrado")</f>
        <v>3</v>
      </c>
      <c r="O430" s="144" t="s">
        <v>30</v>
      </c>
      <c r="P430" s="103" t="s">
        <v>31</v>
      </c>
      <c r="Q430" s="23"/>
    </row>
    <row r="431" spans="1:17" ht="15" hidden="1" customHeight="1">
      <c r="A431" s="117">
        <f>IFERROR(INDEX(Tabela2[ID_Area], MATCH(B431,Tabela2[Area], 0)), "Não encontrado")</f>
        <v>1004</v>
      </c>
      <c r="B431" s="111" t="s">
        <v>15</v>
      </c>
      <c r="C431" s="103" t="s">
        <v>33</v>
      </c>
      <c r="D431" s="114">
        <f>IFERROR(INDEX(Metas!$D$2:$D$104, MATCH(E431,Metas!$E$2:$E$104, 0)), "Não encontrado")</f>
        <v>107</v>
      </c>
      <c r="E431" s="103" t="s">
        <v>34</v>
      </c>
      <c r="F431" s="103" t="s">
        <v>712</v>
      </c>
      <c r="G431" s="62" t="str">
        <f t="shared" ca="1" si="26"/>
        <v>Concluído</v>
      </c>
      <c r="H431" s="156">
        <v>46010</v>
      </c>
      <c r="I431" s="109">
        <v>1</v>
      </c>
      <c r="J431" s="53">
        <f t="shared" si="24"/>
        <v>1.7603911980440097</v>
      </c>
      <c r="K431" s="108">
        <v>45935</v>
      </c>
      <c r="L431" s="108">
        <v>45940</v>
      </c>
      <c r="M431" s="68">
        <f t="shared" si="25"/>
        <v>6</v>
      </c>
      <c r="N431" s="112">
        <f>IFERROR(INDEX(Tabela3[ID_Responsavel], MATCH(O431,Tabela3[[Responsáveis ]], 0)), "Não encontrado")</f>
        <v>3</v>
      </c>
      <c r="O431" s="143" t="s">
        <v>30</v>
      </c>
      <c r="P431" s="103" t="s">
        <v>31</v>
      </c>
      <c r="Q431" s="23"/>
    </row>
    <row r="432" spans="1:17" ht="15" hidden="1" customHeight="1">
      <c r="A432" s="113">
        <f>IFERROR(INDEX(Tabela2[ID_Area], MATCH(B432,Tabela2[Area], 0)), "Não encontrado")</f>
        <v>1004</v>
      </c>
      <c r="B432" s="111" t="s">
        <v>15</v>
      </c>
      <c r="C432" s="103" t="s">
        <v>33</v>
      </c>
      <c r="D432" s="114">
        <f>IFERROR(INDEX(Metas!$D$2:$D$104, MATCH(E432,Metas!$E$2:$E$104, 0)), "Não encontrado")</f>
        <v>107</v>
      </c>
      <c r="E432" s="103" t="s">
        <v>34</v>
      </c>
      <c r="F432" s="103" t="s">
        <v>713</v>
      </c>
      <c r="G432" s="62" t="str">
        <f t="shared" ca="1" si="26"/>
        <v>Concluído</v>
      </c>
      <c r="H432" s="156">
        <v>46010</v>
      </c>
      <c r="I432" s="109">
        <v>1</v>
      </c>
      <c r="J432" s="53">
        <f t="shared" si="24"/>
        <v>15.256723716381419</v>
      </c>
      <c r="K432" s="108">
        <v>45940</v>
      </c>
      <c r="L432" s="108">
        <v>45991</v>
      </c>
      <c r="M432" s="68">
        <f t="shared" si="25"/>
        <v>52</v>
      </c>
      <c r="N432" s="112">
        <f>IFERROR(INDEX(Tabela3[ID_Responsavel], MATCH(O432,Tabela3[[Responsáveis ]], 0)), "Não encontrado")</f>
        <v>3</v>
      </c>
      <c r="O432" s="144" t="s">
        <v>30</v>
      </c>
      <c r="P432" s="103" t="s">
        <v>31</v>
      </c>
      <c r="Q432" s="23"/>
    </row>
    <row r="433" spans="1:17" ht="15" hidden="1" customHeight="1">
      <c r="A433" s="117">
        <f>IFERROR(INDEX(Tabela2[ID_Area], MATCH(B433,Tabela2[Area], 0)), "Não encontrado")</f>
        <v>1004</v>
      </c>
      <c r="B433" s="111" t="s">
        <v>15</v>
      </c>
      <c r="C433" s="103" t="s">
        <v>33</v>
      </c>
      <c r="D433" s="114">
        <f>IFERROR(INDEX(Metas!$D$2:$D$104, MATCH(E433,Metas!$E$2:$E$104, 0)), "Não encontrado")</f>
        <v>107</v>
      </c>
      <c r="E433" s="103" t="s">
        <v>34</v>
      </c>
      <c r="F433" s="103" t="s">
        <v>714</v>
      </c>
      <c r="G433" s="62" t="str">
        <f t="shared" ca="1" si="26"/>
        <v>Concluído</v>
      </c>
      <c r="H433" s="156">
        <v>46010</v>
      </c>
      <c r="I433" s="109">
        <v>1</v>
      </c>
      <c r="J433" s="53">
        <f t="shared" si="24"/>
        <v>15.256723716381419</v>
      </c>
      <c r="K433" s="108">
        <v>45940</v>
      </c>
      <c r="L433" s="108">
        <v>45991</v>
      </c>
      <c r="M433" s="68">
        <f t="shared" si="25"/>
        <v>52</v>
      </c>
      <c r="N433" s="112">
        <f>IFERROR(INDEX(Tabela3[ID_Responsavel], MATCH(O433,Tabela3[[Responsáveis ]], 0)), "Não encontrado")</f>
        <v>3</v>
      </c>
      <c r="O433" s="143" t="s">
        <v>30</v>
      </c>
      <c r="P433" s="103" t="s">
        <v>31</v>
      </c>
      <c r="Q433" s="23"/>
    </row>
    <row r="434" spans="1:17" ht="15" hidden="1" customHeight="1">
      <c r="A434" s="113">
        <f>IFERROR(INDEX(Tabela2[ID_Area], MATCH(B434,Tabela2[Area], 0)), "Não encontrado")</f>
        <v>1004</v>
      </c>
      <c r="B434" s="111" t="s">
        <v>15</v>
      </c>
      <c r="C434" s="103" t="s">
        <v>715</v>
      </c>
      <c r="D434" s="114">
        <f>IFERROR(INDEX(Metas!$D$2:$D$104, MATCH(E434,Metas!$E$2:$E$104, 0)), "Não encontrado")</f>
        <v>108</v>
      </c>
      <c r="E434" s="106" t="s">
        <v>35</v>
      </c>
      <c r="F434" s="103" t="s">
        <v>716</v>
      </c>
      <c r="G434" s="62" t="str">
        <f t="shared" ca="1" si="26"/>
        <v>Concluído</v>
      </c>
      <c r="H434" s="156">
        <v>45837</v>
      </c>
      <c r="I434" s="109">
        <v>1</v>
      </c>
      <c r="J434" s="53">
        <f t="shared" si="24"/>
        <v>52.68292682926829</v>
      </c>
      <c r="K434" s="108">
        <v>45659</v>
      </c>
      <c r="L434" s="108">
        <v>45838</v>
      </c>
      <c r="M434" s="68">
        <f t="shared" si="25"/>
        <v>180</v>
      </c>
      <c r="N434" s="112">
        <f>IFERROR(INDEX(Tabela3[ID_Responsavel], MATCH(O434,Tabela3[[Responsáveis ]], 0)), "Não encontrado")</f>
        <v>3</v>
      </c>
      <c r="O434" s="144" t="s">
        <v>30</v>
      </c>
      <c r="P434" s="103" t="s">
        <v>31</v>
      </c>
      <c r="Q434" s="23"/>
    </row>
    <row r="435" spans="1:17" ht="15" hidden="1" customHeight="1">
      <c r="A435" s="117">
        <f>IFERROR(INDEX(Tabela2[ID_Area], MATCH(B435,Tabela2[Area], 0)), "Não encontrado")</f>
        <v>1004</v>
      </c>
      <c r="B435" s="111" t="s">
        <v>15</v>
      </c>
      <c r="C435" s="103" t="s">
        <v>715</v>
      </c>
      <c r="D435" s="114">
        <f>IFERROR(INDEX(Metas!$D$2:$D$104, MATCH(E435,Metas!$E$2:$E$104, 0)), "Não encontrado")</f>
        <v>108</v>
      </c>
      <c r="E435" s="106" t="s">
        <v>35</v>
      </c>
      <c r="F435" s="103" t="s">
        <v>717</v>
      </c>
      <c r="G435" s="62" t="str">
        <f t="shared" ca="1" si="26"/>
        <v>Concluído</v>
      </c>
      <c r="H435" s="156">
        <v>45670</v>
      </c>
      <c r="I435" s="109">
        <v>1</v>
      </c>
      <c r="J435" s="53">
        <f t="shared" si="24"/>
        <v>8.4878048780487791</v>
      </c>
      <c r="K435" s="108">
        <v>45659</v>
      </c>
      <c r="L435" s="108">
        <v>45687</v>
      </c>
      <c r="M435" s="68">
        <f t="shared" si="25"/>
        <v>29</v>
      </c>
      <c r="N435" s="112">
        <f>IFERROR(INDEX(Tabela3[ID_Responsavel], MATCH(O435,Tabela3[[Responsáveis ]], 0)), "Não encontrado")</f>
        <v>3</v>
      </c>
      <c r="O435" s="143" t="s">
        <v>30</v>
      </c>
      <c r="P435" s="103" t="s">
        <v>31</v>
      </c>
      <c r="Q435" s="23"/>
    </row>
    <row r="436" spans="1:17" ht="15" hidden="1" customHeight="1">
      <c r="A436" s="113">
        <f>IFERROR(INDEX(Tabela2[ID_Area], MATCH(B436,Tabela2[Area], 0)), "Não encontrado")</f>
        <v>1004</v>
      </c>
      <c r="B436" s="111" t="s">
        <v>15</v>
      </c>
      <c r="C436" s="103" t="s">
        <v>715</v>
      </c>
      <c r="D436" s="114">
        <f>IFERROR(INDEX(Metas!$D$2:$D$104, MATCH(E436,Metas!$E$2:$E$104, 0)), "Não encontrado")</f>
        <v>108</v>
      </c>
      <c r="E436" s="106" t="s">
        <v>35</v>
      </c>
      <c r="F436" s="103" t="s">
        <v>718</v>
      </c>
      <c r="G436" s="62" t="str">
        <f t="shared" ca="1" si="26"/>
        <v>Concluído</v>
      </c>
      <c r="H436" s="156">
        <v>45671</v>
      </c>
      <c r="I436" s="109">
        <v>1</v>
      </c>
      <c r="J436" s="53">
        <f t="shared" si="24"/>
        <v>8.7804878048780477</v>
      </c>
      <c r="K436" s="108">
        <v>45809</v>
      </c>
      <c r="L436" s="108">
        <v>45838</v>
      </c>
      <c r="M436" s="68">
        <f t="shared" si="25"/>
        <v>30</v>
      </c>
      <c r="N436" s="112">
        <f>IFERROR(INDEX(Tabela3[ID_Responsavel], MATCH(O436,Tabela3[[Responsáveis ]], 0)), "Não encontrado")</f>
        <v>3</v>
      </c>
      <c r="O436" s="144" t="s">
        <v>30</v>
      </c>
      <c r="P436" s="103" t="s">
        <v>31</v>
      </c>
      <c r="Q436" s="23"/>
    </row>
    <row r="437" spans="1:17" ht="15" hidden="1" customHeight="1">
      <c r="A437" s="117">
        <f>IFERROR(INDEX(Tabela2[ID_Area], MATCH(B437,Tabela2[Area], 0)), "Não encontrado")</f>
        <v>1004</v>
      </c>
      <c r="B437" s="111" t="s">
        <v>15</v>
      </c>
      <c r="C437" s="103" t="s">
        <v>715</v>
      </c>
      <c r="D437" s="114">
        <f>IFERROR(INDEX(Metas!$D$2:$D$104, MATCH(E437,Metas!$E$2:$E$104, 0)), "Não encontrado")</f>
        <v>108</v>
      </c>
      <c r="E437" s="106" t="s">
        <v>35</v>
      </c>
      <c r="F437" s="103" t="s">
        <v>719</v>
      </c>
      <c r="G437" s="62" t="str">
        <f t="shared" ca="1" si="26"/>
        <v>Concluído</v>
      </c>
      <c r="H437" s="156">
        <v>45832</v>
      </c>
      <c r="I437" s="109">
        <v>1</v>
      </c>
      <c r="J437" s="53">
        <f t="shared" si="24"/>
        <v>4.6829268292682924</v>
      </c>
      <c r="K437" s="108">
        <v>45853</v>
      </c>
      <c r="L437" s="108">
        <v>45868</v>
      </c>
      <c r="M437" s="68">
        <f t="shared" si="25"/>
        <v>16</v>
      </c>
      <c r="N437" s="112">
        <f>IFERROR(INDEX(Tabela3[ID_Responsavel], MATCH(O437,Tabela3[[Responsáveis ]], 0)), "Não encontrado")</f>
        <v>3</v>
      </c>
      <c r="O437" s="143" t="s">
        <v>30</v>
      </c>
      <c r="P437" s="103" t="s">
        <v>31</v>
      </c>
      <c r="Q437" s="23"/>
    </row>
    <row r="438" spans="1:17" ht="15" hidden="1" customHeight="1">
      <c r="A438" s="113">
        <f>IFERROR(INDEX(Tabela2[ID_Area], MATCH(B438,Tabela2[Area], 0)), "Não encontrado")</f>
        <v>1004</v>
      </c>
      <c r="B438" s="111" t="s">
        <v>15</v>
      </c>
      <c r="C438" s="103" t="s">
        <v>715</v>
      </c>
      <c r="D438" s="114">
        <f>IFERROR(INDEX(Metas!$D$2:$D$104, MATCH(E438,Metas!$E$2:$E$104, 0)), "Não encontrado")</f>
        <v>108</v>
      </c>
      <c r="E438" s="106" t="s">
        <v>35</v>
      </c>
      <c r="F438" s="103" t="s">
        <v>720</v>
      </c>
      <c r="G438" s="62" t="str">
        <f t="shared" ca="1" si="26"/>
        <v>Concluído</v>
      </c>
      <c r="H438" s="156">
        <v>45847</v>
      </c>
      <c r="I438" s="109">
        <v>1</v>
      </c>
      <c r="J438" s="53">
        <f t="shared" si="24"/>
        <v>45.365853658536587</v>
      </c>
      <c r="K438" s="108">
        <v>45868</v>
      </c>
      <c r="L438" s="108">
        <v>46022</v>
      </c>
      <c r="M438" s="68">
        <f t="shared" si="25"/>
        <v>155</v>
      </c>
      <c r="N438" s="112">
        <f>IFERROR(INDEX(Tabela3[ID_Responsavel], MATCH(O438,Tabela3[[Responsáveis ]], 0)), "Não encontrado")</f>
        <v>3</v>
      </c>
      <c r="O438" s="144" t="s">
        <v>30</v>
      </c>
      <c r="P438" s="103" t="s">
        <v>31</v>
      </c>
      <c r="Q438" s="23"/>
    </row>
    <row r="439" spans="1:17" ht="15" hidden="1" customHeight="1">
      <c r="A439" s="117">
        <f>IFERROR(INDEX(Tabela2[ID_Area], MATCH(B439,Tabela2[Area], 0)), "Não encontrado")</f>
        <v>1004</v>
      </c>
      <c r="B439" s="111" t="s">
        <v>15</v>
      </c>
      <c r="C439" s="103" t="s">
        <v>16</v>
      </c>
      <c r="D439" s="114">
        <f>IFERROR(INDEX(Metas!$D$2:$D$104, MATCH(E439,Metas!$E$2:$E$104, 0)), "Não encontrado")</f>
        <v>201</v>
      </c>
      <c r="E439" s="103" t="s">
        <v>184</v>
      </c>
      <c r="F439" s="103" t="s">
        <v>643</v>
      </c>
      <c r="G439" s="62" t="str">
        <f t="shared" ref="G439:G447" ca="1" si="27">IF(I439=0,"Não iniciado",IF(I439=1,"Concluído",IF(TODAY()&gt;L439,"Atrasado","Em Andamento")))</f>
        <v>Concluído</v>
      </c>
      <c r="H439" s="156">
        <v>45910</v>
      </c>
      <c r="I439" s="109">
        <v>1</v>
      </c>
      <c r="J439" s="53">
        <f t="shared" si="24"/>
        <v>7.024390243902439</v>
      </c>
      <c r="K439" s="108">
        <v>45901</v>
      </c>
      <c r="L439" s="108">
        <v>45912</v>
      </c>
      <c r="M439" s="68">
        <f t="shared" si="25"/>
        <v>12</v>
      </c>
      <c r="N439" s="112">
        <f>IFERROR(INDEX(Tabela3[ID_Responsavel], MATCH(O439,Tabela3[[Responsáveis ]], 0)), "Não encontrado")</f>
        <v>3</v>
      </c>
      <c r="O439" s="143" t="s">
        <v>30</v>
      </c>
      <c r="P439" s="103" t="s">
        <v>31</v>
      </c>
      <c r="Q439" s="23"/>
    </row>
    <row r="440" spans="1:17" ht="15" hidden="1" customHeight="1">
      <c r="A440" s="113">
        <f>IFERROR(INDEX(Tabela2[ID_Area], MATCH(B440,Tabela2[Area], 0)), "Não encontrado")</f>
        <v>1004</v>
      </c>
      <c r="B440" s="111" t="s">
        <v>15</v>
      </c>
      <c r="C440" s="103" t="s">
        <v>16</v>
      </c>
      <c r="D440" s="114">
        <f>IFERROR(INDEX(Metas!$D$2:$D$104, MATCH(E440,Metas!$E$2:$E$104, 0)), "Não encontrado")</f>
        <v>201</v>
      </c>
      <c r="E440" s="103" t="s">
        <v>184</v>
      </c>
      <c r="F440" s="103" t="s">
        <v>644</v>
      </c>
      <c r="G440" s="62" t="str">
        <f t="shared" ca="1" si="27"/>
        <v>Concluído</v>
      </c>
      <c r="H440" s="156">
        <v>45923</v>
      </c>
      <c r="I440" s="109">
        <v>1</v>
      </c>
      <c r="J440" s="53">
        <f t="shared" si="24"/>
        <v>5.8536585365853657</v>
      </c>
      <c r="K440" s="108">
        <v>45915</v>
      </c>
      <c r="L440" s="108">
        <v>45924</v>
      </c>
      <c r="M440" s="68">
        <f t="shared" si="25"/>
        <v>10</v>
      </c>
      <c r="N440" s="112">
        <f>IFERROR(INDEX(Tabela3[ID_Responsavel], MATCH(O440,Tabela3[[Responsáveis ]], 0)), "Não encontrado")</f>
        <v>3</v>
      </c>
      <c r="O440" s="144" t="s">
        <v>30</v>
      </c>
      <c r="P440" s="103" t="s">
        <v>31</v>
      </c>
      <c r="Q440" s="23"/>
    </row>
    <row r="441" spans="1:17" ht="15" hidden="1" customHeight="1">
      <c r="A441" s="117">
        <f>IFERROR(INDEX(Tabela2[ID_Area], MATCH(B441,Tabela2[Area], 0)), "Não encontrado")</f>
        <v>1004</v>
      </c>
      <c r="B441" s="111" t="s">
        <v>15</v>
      </c>
      <c r="C441" s="103" t="s">
        <v>16</v>
      </c>
      <c r="D441" s="114">
        <f>IFERROR(INDEX(Metas!$D$2:$D$104, MATCH(E441,Metas!$E$2:$E$104, 0)), "Não encontrado")</f>
        <v>201</v>
      </c>
      <c r="E441" s="103" t="s">
        <v>184</v>
      </c>
      <c r="F441" s="103" t="s">
        <v>645</v>
      </c>
      <c r="G441" s="62" t="str">
        <f t="shared" ca="1" si="27"/>
        <v>Concluído</v>
      </c>
      <c r="H441" s="156">
        <v>45923</v>
      </c>
      <c r="I441" s="109">
        <v>1</v>
      </c>
      <c r="J441" s="53">
        <f t="shared" si="24"/>
        <v>8.7804878048780477</v>
      </c>
      <c r="K441" s="108">
        <v>45925</v>
      </c>
      <c r="L441" s="108">
        <v>45939</v>
      </c>
      <c r="M441" s="68">
        <f t="shared" si="25"/>
        <v>15</v>
      </c>
      <c r="N441" s="112">
        <f>IFERROR(INDEX(Tabela3[ID_Responsavel], MATCH(O441,Tabela3[[Responsáveis ]], 0)), "Não encontrado")</f>
        <v>3</v>
      </c>
      <c r="O441" s="143" t="s">
        <v>30</v>
      </c>
      <c r="P441" s="103" t="s">
        <v>31</v>
      </c>
      <c r="Q441" s="23"/>
    </row>
    <row r="442" spans="1:17" ht="15" hidden="1" customHeight="1">
      <c r="A442" s="113">
        <f>IFERROR(INDEX(Tabela2[ID_Area], MATCH(B442,Tabela2[Area], 0)), "Não encontrado")</f>
        <v>1004</v>
      </c>
      <c r="B442" s="111" t="s">
        <v>15</v>
      </c>
      <c r="C442" s="103" t="s">
        <v>16</v>
      </c>
      <c r="D442" s="114">
        <f>IFERROR(INDEX(Metas!$D$2:$D$104, MATCH(E442,Metas!$E$2:$E$104, 0)), "Não encontrado")</f>
        <v>201</v>
      </c>
      <c r="E442" s="103" t="s">
        <v>184</v>
      </c>
      <c r="F442" s="103" t="s">
        <v>646</v>
      </c>
      <c r="G442" s="62" t="str">
        <f t="shared" ca="1" si="27"/>
        <v>Concluído</v>
      </c>
      <c r="H442" s="156">
        <v>45988</v>
      </c>
      <c r="I442" s="109">
        <v>1</v>
      </c>
      <c r="J442" s="53">
        <f t="shared" si="24"/>
        <v>18.73170731707317</v>
      </c>
      <c r="K442" s="108">
        <v>45940</v>
      </c>
      <c r="L442" s="108">
        <v>45971</v>
      </c>
      <c r="M442" s="68">
        <f t="shared" si="25"/>
        <v>32</v>
      </c>
      <c r="N442" s="112">
        <f>IFERROR(INDEX(Tabela3[ID_Responsavel], MATCH(O442,Tabela3[[Responsáveis ]], 0)), "Não encontrado")</f>
        <v>3</v>
      </c>
      <c r="O442" s="144" t="s">
        <v>30</v>
      </c>
      <c r="P442" s="103" t="s">
        <v>31</v>
      </c>
      <c r="Q442" s="23"/>
    </row>
    <row r="443" spans="1:17" ht="15" hidden="1" customHeight="1">
      <c r="A443" s="117">
        <f>IFERROR(INDEX(Tabela2[ID_Area], MATCH(B443,Tabela2[Area], 0)), "Não encontrado")</f>
        <v>1004</v>
      </c>
      <c r="B443" s="111" t="s">
        <v>15</v>
      </c>
      <c r="C443" s="103" t="s">
        <v>16</v>
      </c>
      <c r="D443" s="114">
        <f>IFERROR(INDEX(Metas!$D$2:$D$104, MATCH(E443,Metas!$E$2:$E$104, 0)), "Não encontrado")</f>
        <v>201</v>
      </c>
      <c r="E443" s="103" t="s">
        <v>184</v>
      </c>
      <c r="F443" s="103" t="s">
        <v>647</v>
      </c>
      <c r="G443" s="62" t="str">
        <f t="shared" ca="1" si="27"/>
        <v>Concluído</v>
      </c>
      <c r="H443" s="156">
        <v>45988</v>
      </c>
      <c r="I443" s="109">
        <v>1</v>
      </c>
      <c r="J443" s="53">
        <f t="shared" si="24"/>
        <v>18.73170731707317</v>
      </c>
      <c r="K443" s="108">
        <v>45940</v>
      </c>
      <c r="L443" s="108">
        <v>45971</v>
      </c>
      <c r="M443" s="68">
        <f t="shared" si="25"/>
        <v>32</v>
      </c>
      <c r="N443" s="112">
        <f>IFERROR(INDEX(Tabela3[ID_Responsavel], MATCH(O443,Tabela3[[Responsáveis ]], 0)), "Não encontrado")</f>
        <v>3</v>
      </c>
      <c r="O443" s="143" t="s">
        <v>30</v>
      </c>
      <c r="P443" s="103" t="s">
        <v>31</v>
      </c>
      <c r="Q443" s="23"/>
    </row>
    <row r="444" spans="1:17" ht="15" hidden="1" customHeight="1">
      <c r="A444" s="113">
        <f>IFERROR(INDEX(Tabela2[ID_Area], MATCH(B444,Tabela2[Area], 0)), "Não encontrado")</f>
        <v>1004</v>
      </c>
      <c r="B444" s="111" t="s">
        <v>15</v>
      </c>
      <c r="C444" s="103" t="s">
        <v>16</v>
      </c>
      <c r="D444" s="114">
        <f>IFERROR(INDEX(Metas!$D$2:$D$104, MATCH(E444,Metas!$E$2:$E$104, 0)), "Não encontrado")</f>
        <v>201</v>
      </c>
      <c r="E444" s="103" t="s">
        <v>184</v>
      </c>
      <c r="F444" s="103" t="s">
        <v>648</v>
      </c>
      <c r="G444" s="62" t="str">
        <f t="shared" ca="1" si="27"/>
        <v>Concluído</v>
      </c>
      <c r="H444" s="156">
        <v>46001</v>
      </c>
      <c r="I444" s="109">
        <v>1</v>
      </c>
      <c r="J444" s="53">
        <f t="shared" si="24"/>
        <v>18.73170731707317</v>
      </c>
      <c r="K444" s="108">
        <v>45940</v>
      </c>
      <c r="L444" s="108">
        <v>45971</v>
      </c>
      <c r="M444" s="68">
        <f t="shared" si="25"/>
        <v>32</v>
      </c>
      <c r="N444" s="112">
        <f>IFERROR(INDEX(Tabela3[ID_Responsavel], MATCH(O444,Tabela3[[Responsáveis ]], 0)), "Não encontrado")</f>
        <v>3</v>
      </c>
      <c r="O444" s="144" t="s">
        <v>30</v>
      </c>
      <c r="P444" s="103" t="s">
        <v>31</v>
      </c>
      <c r="Q444" s="23"/>
    </row>
    <row r="445" spans="1:17" ht="15" hidden="1" customHeight="1">
      <c r="A445" s="117">
        <f>IFERROR(INDEX(Tabela2[ID_Area], MATCH(B445,Tabela2[Area], 0)), "Não encontrado")</f>
        <v>1004</v>
      </c>
      <c r="B445" s="111" t="s">
        <v>15</v>
      </c>
      <c r="C445" s="103" t="s">
        <v>16</v>
      </c>
      <c r="D445" s="114">
        <f>IFERROR(INDEX(Metas!$D$2:$D$104, MATCH(E445,Metas!$E$2:$E$104, 0)), "Não encontrado")</f>
        <v>201</v>
      </c>
      <c r="E445" s="103" t="s">
        <v>184</v>
      </c>
      <c r="F445" s="103" t="s">
        <v>649</v>
      </c>
      <c r="G445" s="62" t="str">
        <f t="shared" ca="1" si="27"/>
        <v>Concluído</v>
      </c>
      <c r="H445" s="156">
        <v>46008</v>
      </c>
      <c r="I445" s="109">
        <v>1</v>
      </c>
      <c r="J445" s="53">
        <f t="shared" si="24"/>
        <v>21.073170731707314</v>
      </c>
      <c r="K445" s="108">
        <v>45971</v>
      </c>
      <c r="L445" s="108">
        <v>46006</v>
      </c>
      <c r="M445" s="68">
        <f t="shared" si="25"/>
        <v>36</v>
      </c>
      <c r="N445" s="112">
        <f>IFERROR(INDEX(Tabela3[ID_Responsavel], MATCH(O445,Tabela3[[Responsáveis ]], 0)), "Não encontrado")</f>
        <v>3</v>
      </c>
      <c r="O445" s="143" t="s">
        <v>30</v>
      </c>
      <c r="P445" s="103" t="s">
        <v>31</v>
      </c>
      <c r="Q445" s="23"/>
    </row>
    <row r="446" spans="1:17" ht="15" hidden="1" customHeight="1">
      <c r="A446" s="145">
        <f>IFERROR(INDEX(Tabela2[ID_Area], MATCH(B446,Tabela2[Area], 0)), "Não encontrado")</f>
        <v>1004</v>
      </c>
      <c r="B446" s="146" t="s">
        <v>15</v>
      </c>
      <c r="C446" s="147" t="s">
        <v>16</v>
      </c>
      <c r="D446" s="124">
        <f>IFERROR(INDEX(Metas!$D$2:$D$104, MATCH(E446,Metas!$E$2:$E$104, 0)), "Não encontrado")</f>
        <v>201</v>
      </c>
      <c r="E446" s="103" t="s">
        <v>184</v>
      </c>
      <c r="F446" s="147" t="s">
        <v>650</v>
      </c>
      <c r="G446" s="124" t="str">
        <f t="shared" ca="1" si="27"/>
        <v>Concluído</v>
      </c>
      <c r="H446" s="189">
        <v>46009</v>
      </c>
      <c r="I446" s="148">
        <v>1</v>
      </c>
      <c r="J446" s="53">
        <f t="shared" si="24"/>
        <v>21.073170731707314</v>
      </c>
      <c r="K446" s="149">
        <v>45971</v>
      </c>
      <c r="L446" s="149">
        <v>46006</v>
      </c>
      <c r="M446" s="150">
        <f t="shared" si="25"/>
        <v>36</v>
      </c>
      <c r="N446" s="151">
        <f>IFERROR(INDEX(Tabela3[ID_Responsavel], MATCH(O446,Tabela3[[Responsáveis ]], 0)), "Não encontrado")</f>
        <v>3</v>
      </c>
      <c r="O446" s="152" t="s">
        <v>30</v>
      </c>
      <c r="P446" s="147" t="s">
        <v>31</v>
      </c>
      <c r="Q446" s="153"/>
    </row>
    <row r="447" spans="1:17" ht="15" hidden="1" customHeight="1">
      <c r="A447" s="129">
        <f>IFERROR(INDEX(Tabela2[ID_Area], MATCH(B447,Tabela2[Area], 0)), "Não encontrado")</f>
        <v>1004</v>
      </c>
      <c r="B447" s="123" t="s">
        <v>15</v>
      </c>
      <c r="C447" s="16" t="s">
        <v>702</v>
      </c>
      <c r="D447" s="18">
        <f>IFERROR(INDEX(Metas!$D$2:$D$104, MATCH(E447,Metas!$E$2:$E$104, 0)), "Não encontrado")</f>
        <v>116</v>
      </c>
      <c r="E447" s="16" t="s">
        <v>46</v>
      </c>
      <c r="F447" s="16" t="s">
        <v>721</v>
      </c>
      <c r="G447" s="124" t="str">
        <f t="shared" ca="1" si="27"/>
        <v>Concluído</v>
      </c>
      <c r="H447" s="158">
        <v>45932</v>
      </c>
      <c r="I447" s="30">
        <v>1</v>
      </c>
      <c r="J447" s="53">
        <f t="shared" si="24"/>
        <v>20.930232558139537</v>
      </c>
      <c r="K447" s="19">
        <v>45931</v>
      </c>
      <c r="L447" s="19">
        <v>45945</v>
      </c>
      <c r="M447" s="125">
        <f t="shared" si="25"/>
        <v>15</v>
      </c>
      <c r="N447" s="130">
        <f>IFERROR(INDEX(Tabela3[ID_Responsavel], MATCH(O447,Tabela3[[Responsáveis ]], 0)), "Não encontrado")</f>
        <v>24</v>
      </c>
      <c r="O447" s="120" t="s">
        <v>47</v>
      </c>
      <c r="P447" s="128" t="s">
        <v>48</v>
      </c>
      <c r="Q447" s="126"/>
    </row>
    <row r="448" spans="1:17" ht="15" hidden="1" customHeight="1">
      <c r="A448" s="129">
        <f>IFERROR(INDEX(Tabela2[ID_Area], MATCH(B448,Tabela2[Area], 0)), "Não encontrado")</f>
        <v>1004</v>
      </c>
      <c r="B448" s="123" t="s">
        <v>15</v>
      </c>
      <c r="C448" s="16" t="s">
        <v>702</v>
      </c>
      <c r="D448" s="18">
        <f>IFERROR(INDEX(Metas!$D$2:$D$104, MATCH(E448,Metas!$E$2:$E$104, 0)), "Não encontrado")</f>
        <v>116</v>
      </c>
      <c r="E448" s="16" t="s">
        <v>46</v>
      </c>
      <c r="F448" s="16" t="s">
        <v>722</v>
      </c>
      <c r="G448" s="124" t="str">
        <f ca="1">IF(I448=1,"Concluído",IF(TODAY()&gt;L448,"Atrasado","Em Andamento"))</f>
        <v>Atrasado</v>
      </c>
      <c r="H448" s="28"/>
      <c r="I448" s="30">
        <v>0</v>
      </c>
      <c r="J448" s="53">
        <f t="shared" si="24"/>
        <v>11.162790697674419</v>
      </c>
      <c r="K448" s="19">
        <v>45945</v>
      </c>
      <c r="L448" s="19">
        <v>45952</v>
      </c>
      <c r="M448" s="125">
        <f t="shared" si="25"/>
        <v>8</v>
      </c>
      <c r="N448" s="130">
        <f>IFERROR(INDEX(Tabela3[ID_Responsavel], MATCH(O448,Tabela3[[Responsáveis ]], 0)), "Não encontrado")</f>
        <v>24</v>
      </c>
      <c r="O448" s="120" t="s">
        <v>47</v>
      </c>
      <c r="P448" s="128" t="s">
        <v>48</v>
      </c>
      <c r="Q448" s="126"/>
    </row>
    <row r="449" spans="1:17" ht="15" hidden="1" customHeight="1">
      <c r="A449" s="129">
        <f>IFERROR(INDEX(Tabela2[ID_Area], MATCH(B449,Tabela2[Area], 0)), "Não encontrado")</f>
        <v>1004</v>
      </c>
      <c r="B449" s="123" t="s">
        <v>15</v>
      </c>
      <c r="C449" s="16" t="s">
        <v>702</v>
      </c>
      <c r="D449" s="18">
        <f>IFERROR(INDEX(Metas!$D$2:$D$104, MATCH(E449,Metas!$E$2:$E$104, 0)), "Não encontrado")</f>
        <v>116</v>
      </c>
      <c r="E449" s="16" t="s">
        <v>46</v>
      </c>
      <c r="F449" s="16" t="s">
        <v>723</v>
      </c>
      <c r="G449" s="124" t="str">
        <f t="shared" ref="G449:G474" ca="1" si="28">IF(I449=1,"Concluído",IF(TODAY()&gt;L449,"Atrasado","Em Andamento"))</f>
        <v>Atrasado</v>
      </c>
      <c r="H449" s="28"/>
      <c r="I449" s="30">
        <v>0</v>
      </c>
      <c r="J449" s="53">
        <f t="shared" si="24"/>
        <v>23.720930232558139</v>
      </c>
      <c r="K449" s="19">
        <v>45952</v>
      </c>
      <c r="L449" s="19">
        <v>45968</v>
      </c>
      <c r="M449" s="125">
        <f t="shared" si="25"/>
        <v>17</v>
      </c>
      <c r="N449" s="130">
        <f>IFERROR(INDEX(Tabela3[ID_Responsavel], MATCH(O449,Tabela3[[Responsáveis ]], 0)), "Não encontrado")</f>
        <v>24</v>
      </c>
      <c r="O449" s="120" t="s">
        <v>47</v>
      </c>
      <c r="P449" s="128" t="s">
        <v>48</v>
      </c>
      <c r="Q449" s="126"/>
    </row>
    <row r="450" spans="1:17" ht="15" hidden="1" customHeight="1">
      <c r="A450" s="129">
        <f>IFERROR(INDEX(Tabela2[ID_Area], MATCH(B450,Tabela2[Area], 0)), "Não encontrado")</f>
        <v>1004</v>
      </c>
      <c r="B450" s="123" t="s">
        <v>15</v>
      </c>
      <c r="C450" s="16" t="s">
        <v>702</v>
      </c>
      <c r="D450" s="18">
        <f>IFERROR(INDEX(Metas!$D$2:$D$104, MATCH(E450,Metas!$E$2:$E$104, 0)), "Não encontrado")</f>
        <v>116</v>
      </c>
      <c r="E450" s="16" t="s">
        <v>46</v>
      </c>
      <c r="F450" s="16" t="s">
        <v>724</v>
      </c>
      <c r="G450" s="124" t="str">
        <f t="shared" ca="1" si="28"/>
        <v>Atrasado</v>
      </c>
      <c r="H450" s="28"/>
      <c r="I450" s="30">
        <v>0</v>
      </c>
      <c r="J450" s="53">
        <f t="shared" ref="J450:J513" si="29">IFERROR( M450 / SUMIFS($M:$M, $E:$E, $E450, $O:$O, $O450) * 120, 0 )</f>
        <v>33.488372093023258</v>
      </c>
      <c r="K450" s="19">
        <v>45968</v>
      </c>
      <c r="L450" s="19">
        <v>45991</v>
      </c>
      <c r="M450" s="125">
        <f t="shared" si="25"/>
        <v>24</v>
      </c>
      <c r="N450" s="130">
        <f>IFERROR(INDEX(Tabela3[ID_Responsavel], MATCH(O450,Tabela3[[Responsáveis ]], 0)), "Não encontrado")</f>
        <v>24</v>
      </c>
      <c r="O450" s="120" t="s">
        <v>47</v>
      </c>
      <c r="P450" s="128" t="s">
        <v>48</v>
      </c>
      <c r="Q450" s="126"/>
    </row>
    <row r="451" spans="1:17" ht="15" hidden="1" customHeight="1">
      <c r="A451" s="129">
        <f>IFERROR(INDEX(Tabela2[ID_Area], MATCH(B451,Tabela2[Area], 0)), "Não encontrado")</f>
        <v>1004</v>
      </c>
      <c r="B451" s="123" t="s">
        <v>15</v>
      </c>
      <c r="C451" s="16" t="s">
        <v>702</v>
      </c>
      <c r="D451" s="18">
        <f>IFERROR(INDEX(Metas!$D$2:$D$104, MATCH(E451,Metas!$E$2:$E$104, 0)), "Não encontrado")</f>
        <v>116</v>
      </c>
      <c r="E451" s="16" t="s">
        <v>46</v>
      </c>
      <c r="F451" s="16" t="s">
        <v>725</v>
      </c>
      <c r="G451" s="124" t="str">
        <f t="shared" ca="1" si="28"/>
        <v>Atrasado</v>
      </c>
      <c r="H451" s="28"/>
      <c r="I451" s="30">
        <v>0</v>
      </c>
      <c r="J451" s="53">
        <f t="shared" si="29"/>
        <v>30.697674418604652</v>
      </c>
      <c r="K451" s="19">
        <v>45992</v>
      </c>
      <c r="L451" s="19">
        <v>46013</v>
      </c>
      <c r="M451" s="125">
        <f t="shared" ref="M451:M514" si="30" xml:space="preserve"> L451 - K451 + 1</f>
        <v>22</v>
      </c>
      <c r="N451" s="130">
        <f>IFERROR(INDEX(Tabela3[ID_Responsavel], MATCH(O451,Tabela3[[Responsáveis ]], 0)), "Não encontrado")</f>
        <v>24</v>
      </c>
      <c r="O451" s="120" t="s">
        <v>47</v>
      </c>
      <c r="P451" s="128" t="s">
        <v>48</v>
      </c>
      <c r="Q451" s="126"/>
    </row>
    <row r="452" spans="1:17" ht="15" hidden="1" customHeight="1">
      <c r="A452" s="129">
        <f>IFERROR(INDEX(Tabela2[ID_Area], MATCH(B452,Tabela2[Area], 0)), "Não encontrado")</f>
        <v>1004</v>
      </c>
      <c r="B452" s="123" t="s">
        <v>15</v>
      </c>
      <c r="C452" s="16" t="s">
        <v>702</v>
      </c>
      <c r="D452" s="18">
        <f>IFERROR(INDEX(Metas!$D$2:$D$104, MATCH(E452,Metas!$E$2:$E$104, 0)), "Não encontrado")</f>
        <v>117</v>
      </c>
      <c r="E452" s="16" t="s">
        <v>50</v>
      </c>
      <c r="F452" s="16" t="s">
        <v>679</v>
      </c>
      <c r="G452" s="124" t="str">
        <f t="shared" ca="1" si="28"/>
        <v>Concluído</v>
      </c>
      <c r="H452" s="158">
        <v>45763</v>
      </c>
      <c r="I452" s="30">
        <v>1</v>
      </c>
      <c r="J452" s="53">
        <f t="shared" si="29"/>
        <v>7.1999999999999993</v>
      </c>
      <c r="K452" s="19">
        <v>45748</v>
      </c>
      <c r="L452" s="19">
        <v>45777</v>
      </c>
      <c r="M452" s="125">
        <f t="shared" si="30"/>
        <v>30</v>
      </c>
      <c r="N452" s="130">
        <f>IFERROR(INDEX(Tabela3[ID_Responsavel], MATCH(O452,Tabela3[[Responsáveis ]], 0)), "Não encontrado")</f>
        <v>24</v>
      </c>
      <c r="O452" s="120" t="s">
        <v>47</v>
      </c>
      <c r="P452" s="128" t="s">
        <v>48</v>
      </c>
      <c r="Q452" s="126"/>
    </row>
    <row r="453" spans="1:17" ht="15" hidden="1" customHeight="1">
      <c r="A453" s="129">
        <f>IFERROR(INDEX(Tabela2[ID_Area], MATCH(B453,Tabela2[Area], 0)), "Não encontrado")</f>
        <v>1004</v>
      </c>
      <c r="B453" s="123" t="s">
        <v>15</v>
      </c>
      <c r="C453" s="16" t="s">
        <v>702</v>
      </c>
      <c r="D453" s="18">
        <f>IFERROR(INDEX(Metas!$D$2:$D$104, MATCH(E453,Metas!$E$2:$E$104, 0)), "Não encontrado")</f>
        <v>117</v>
      </c>
      <c r="E453" s="16" t="s">
        <v>50</v>
      </c>
      <c r="F453" s="16" t="s">
        <v>680</v>
      </c>
      <c r="G453" s="124" t="str">
        <f t="shared" ca="1" si="28"/>
        <v>Concluído</v>
      </c>
      <c r="H453" s="158">
        <v>45763</v>
      </c>
      <c r="I453" s="30">
        <v>1</v>
      </c>
      <c r="J453" s="53">
        <f t="shared" si="29"/>
        <v>7.1999999999999993</v>
      </c>
      <c r="K453" s="19">
        <v>45748</v>
      </c>
      <c r="L453" s="19">
        <v>45777</v>
      </c>
      <c r="M453" s="125">
        <f t="shared" si="30"/>
        <v>30</v>
      </c>
      <c r="N453" s="130">
        <f>IFERROR(INDEX(Tabela3[ID_Responsavel], MATCH(O453,Tabela3[[Responsáveis ]], 0)), "Não encontrado")</f>
        <v>24</v>
      </c>
      <c r="O453" s="120" t="s">
        <v>47</v>
      </c>
      <c r="P453" s="128" t="s">
        <v>48</v>
      </c>
      <c r="Q453" s="126"/>
    </row>
    <row r="454" spans="1:17" ht="15" hidden="1" customHeight="1">
      <c r="A454" s="129">
        <f>IFERROR(INDEX(Tabela2[ID_Area], MATCH(B454,Tabela2[Area], 0)), "Não encontrado")</f>
        <v>1004</v>
      </c>
      <c r="B454" s="123" t="s">
        <v>15</v>
      </c>
      <c r="C454" s="16" t="s">
        <v>702</v>
      </c>
      <c r="D454" s="18">
        <f>IFERROR(INDEX(Metas!$D$2:$D$104, MATCH(E454,Metas!$E$2:$E$104, 0)), "Não encontrado")</f>
        <v>117</v>
      </c>
      <c r="E454" s="16" t="s">
        <v>50</v>
      </c>
      <c r="F454" s="16" t="s">
        <v>681</v>
      </c>
      <c r="G454" s="124" t="str">
        <f t="shared" ca="1" si="28"/>
        <v>Concluído</v>
      </c>
      <c r="H454" s="158">
        <v>46010</v>
      </c>
      <c r="I454" s="30">
        <v>1</v>
      </c>
      <c r="J454" s="53">
        <f t="shared" si="29"/>
        <v>66</v>
      </c>
      <c r="K454" s="19">
        <v>45748</v>
      </c>
      <c r="L454" s="19">
        <v>46022</v>
      </c>
      <c r="M454" s="125">
        <f t="shared" si="30"/>
        <v>275</v>
      </c>
      <c r="N454" s="130">
        <f>IFERROR(INDEX(Tabela3[ID_Responsavel], MATCH(O454,Tabela3[[Responsáveis ]], 0)), "Não encontrado")</f>
        <v>24</v>
      </c>
      <c r="O454" s="120" t="s">
        <v>47</v>
      </c>
      <c r="P454" s="128" t="s">
        <v>48</v>
      </c>
      <c r="Q454" s="126"/>
    </row>
    <row r="455" spans="1:17" ht="15" hidden="1" customHeight="1">
      <c r="A455" s="129">
        <f>IFERROR(INDEX(Tabela2[ID_Area], MATCH(B455,Tabela2[Area], 0)), "Não encontrado")</f>
        <v>1004</v>
      </c>
      <c r="B455" s="123" t="s">
        <v>15</v>
      </c>
      <c r="C455" s="16" t="s">
        <v>702</v>
      </c>
      <c r="D455" s="18">
        <f>IFERROR(INDEX(Metas!$D$2:$D$104, MATCH(E455,Metas!$E$2:$E$104, 0)), "Não encontrado")</f>
        <v>117</v>
      </c>
      <c r="E455" s="16" t="s">
        <v>50</v>
      </c>
      <c r="F455" s="16" t="s">
        <v>682</v>
      </c>
      <c r="G455" s="124" t="str">
        <f t="shared" ca="1" si="28"/>
        <v>Concluído</v>
      </c>
      <c r="H455" s="158">
        <v>45910</v>
      </c>
      <c r="I455" s="30">
        <v>1</v>
      </c>
      <c r="J455" s="53">
        <f t="shared" si="29"/>
        <v>7.1999999999999993</v>
      </c>
      <c r="K455" s="19">
        <v>45901</v>
      </c>
      <c r="L455" s="19">
        <v>45930</v>
      </c>
      <c r="M455" s="125">
        <f t="shared" si="30"/>
        <v>30</v>
      </c>
      <c r="N455" s="130">
        <f>IFERROR(INDEX(Tabela3[ID_Responsavel], MATCH(O455,Tabela3[[Responsáveis ]], 0)), "Não encontrado")</f>
        <v>24</v>
      </c>
      <c r="O455" s="120" t="s">
        <v>47</v>
      </c>
      <c r="P455" s="128" t="s">
        <v>48</v>
      </c>
      <c r="Q455" s="126"/>
    </row>
    <row r="456" spans="1:17" ht="15" hidden="1" customHeight="1">
      <c r="A456" s="129">
        <f>IFERROR(INDEX(Tabela2[ID_Area], MATCH(B456,Tabela2[Area], 0)), "Não encontrado")</f>
        <v>1004</v>
      </c>
      <c r="B456" s="123" t="s">
        <v>15</v>
      </c>
      <c r="C456" s="16" t="s">
        <v>702</v>
      </c>
      <c r="D456" s="18">
        <f>IFERROR(INDEX(Metas!$D$2:$D$104, MATCH(E456,Metas!$E$2:$E$104, 0)), "Não encontrado")</f>
        <v>117</v>
      </c>
      <c r="E456" s="16" t="s">
        <v>50</v>
      </c>
      <c r="F456" s="16" t="s">
        <v>683</v>
      </c>
      <c r="G456" s="124" t="str">
        <f t="shared" ca="1" si="28"/>
        <v>Concluído</v>
      </c>
      <c r="H456" s="158">
        <v>46010</v>
      </c>
      <c r="I456" s="30">
        <v>1</v>
      </c>
      <c r="J456" s="53">
        <f t="shared" si="29"/>
        <v>5.2799999999999994</v>
      </c>
      <c r="K456" s="19">
        <v>45992</v>
      </c>
      <c r="L456" s="19">
        <v>46013</v>
      </c>
      <c r="M456" s="125">
        <f t="shared" si="30"/>
        <v>22</v>
      </c>
      <c r="N456" s="130">
        <f>IFERROR(INDEX(Tabela3[ID_Responsavel], MATCH(O456,Tabela3[[Responsáveis ]], 0)), "Não encontrado")</f>
        <v>24</v>
      </c>
      <c r="O456" s="120" t="s">
        <v>47</v>
      </c>
      <c r="P456" s="128" t="s">
        <v>48</v>
      </c>
      <c r="Q456" s="126"/>
    </row>
    <row r="457" spans="1:17" ht="15" hidden="1" customHeight="1">
      <c r="A457" s="129">
        <f>IFERROR(INDEX(Tabela2[ID_Area], MATCH(B457,Tabela2[Area], 0)), "Não encontrado")</f>
        <v>1004</v>
      </c>
      <c r="B457" s="123" t="s">
        <v>15</v>
      </c>
      <c r="C457" s="16" t="s">
        <v>702</v>
      </c>
      <c r="D457" s="18">
        <f>IFERROR(INDEX(Metas!$D$2:$D$104, MATCH(E457,Metas!$E$2:$E$104, 0)), "Não encontrado")</f>
        <v>117</v>
      </c>
      <c r="E457" s="16" t="s">
        <v>50</v>
      </c>
      <c r="F457" s="16" t="s">
        <v>684</v>
      </c>
      <c r="G457" s="124" t="str">
        <f t="shared" ca="1" si="28"/>
        <v>Concluído</v>
      </c>
      <c r="H457" s="158">
        <v>45940</v>
      </c>
      <c r="I457" s="30">
        <v>1</v>
      </c>
      <c r="J457" s="53">
        <f t="shared" si="29"/>
        <v>27.12</v>
      </c>
      <c r="K457" s="19">
        <v>45901</v>
      </c>
      <c r="L457" s="19">
        <v>46013</v>
      </c>
      <c r="M457" s="125">
        <f t="shared" si="30"/>
        <v>113</v>
      </c>
      <c r="N457" s="130">
        <f>IFERROR(INDEX(Tabela3[ID_Responsavel], MATCH(O457,Tabela3[[Responsáveis ]], 0)), "Não encontrado")</f>
        <v>24</v>
      </c>
      <c r="O457" s="120" t="s">
        <v>47</v>
      </c>
      <c r="P457" s="128" t="s">
        <v>48</v>
      </c>
      <c r="Q457" s="126"/>
    </row>
    <row r="458" spans="1:17" ht="15" hidden="1" customHeight="1">
      <c r="A458" s="129">
        <f>IFERROR(INDEX(Tabela2[ID_Area], MATCH(B458,Tabela2[Area], 0)), "Não encontrado")</f>
        <v>1004</v>
      </c>
      <c r="B458" s="123" t="s">
        <v>15</v>
      </c>
      <c r="C458" s="16" t="s">
        <v>16</v>
      </c>
      <c r="D458" s="18">
        <f>IFERROR(INDEX(Metas!$D$2:$D$104, MATCH(E458,Metas!$E$2:$E$104, 0)), "Não encontrado")</f>
        <v>119</v>
      </c>
      <c r="E458" s="16" t="s">
        <v>52</v>
      </c>
      <c r="F458" s="16" t="s">
        <v>726</v>
      </c>
      <c r="G458" s="124" t="str">
        <f t="shared" ca="1" si="28"/>
        <v>Concluído</v>
      </c>
      <c r="H458" s="158">
        <v>45672</v>
      </c>
      <c r="I458" s="30">
        <v>1</v>
      </c>
      <c r="J458" s="53">
        <f t="shared" si="29"/>
        <v>13.333333333333332</v>
      </c>
      <c r="K458" s="19">
        <v>45670</v>
      </c>
      <c r="L458" s="19">
        <v>45674</v>
      </c>
      <c r="M458" s="125">
        <f t="shared" si="30"/>
        <v>5</v>
      </c>
      <c r="N458" s="130">
        <f>IFERROR(INDEX(Tabela3[ID_Responsavel], MATCH(O458,Tabela3[[Responsáveis ]], 0)), "Não encontrado")</f>
        <v>24</v>
      </c>
      <c r="O458" s="120" t="s">
        <v>47</v>
      </c>
      <c r="P458" s="128" t="s">
        <v>48</v>
      </c>
      <c r="Q458" s="126"/>
    </row>
    <row r="459" spans="1:17" ht="15" hidden="1" customHeight="1">
      <c r="A459" s="129">
        <f>IFERROR(INDEX(Tabela2[ID_Area], MATCH(B459,Tabela2[Area], 0)), "Não encontrado")</f>
        <v>1004</v>
      </c>
      <c r="B459" s="123" t="s">
        <v>15</v>
      </c>
      <c r="C459" s="16" t="s">
        <v>16</v>
      </c>
      <c r="D459" s="18">
        <f>IFERROR(INDEX(Metas!$D$2:$D$104, MATCH(E459,Metas!$E$2:$E$104, 0)), "Não encontrado")</f>
        <v>119</v>
      </c>
      <c r="E459" s="16" t="s">
        <v>52</v>
      </c>
      <c r="F459" s="16" t="s">
        <v>727</v>
      </c>
      <c r="G459" s="124" t="str">
        <f t="shared" ca="1" si="28"/>
        <v>Concluído</v>
      </c>
      <c r="H459" s="188">
        <v>45672</v>
      </c>
      <c r="I459" s="30">
        <v>1</v>
      </c>
      <c r="J459" s="53">
        <f t="shared" si="29"/>
        <v>32</v>
      </c>
      <c r="K459" s="19">
        <v>45677</v>
      </c>
      <c r="L459" s="19">
        <v>45688</v>
      </c>
      <c r="M459" s="125">
        <f t="shared" si="30"/>
        <v>12</v>
      </c>
      <c r="N459" s="130">
        <f>IFERROR(INDEX(Tabela3[ID_Responsavel], MATCH(O459,Tabela3[[Responsáveis ]], 0)), "Não encontrado")</f>
        <v>24</v>
      </c>
      <c r="O459" s="120" t="s">
        <v>47</v>
      </c>
      <c r="P459" s="128" t="s">
        <v>48</v>
      </c>
      <c r="Q459" s="126"/>
    </row>
    <row r="460" spans="1:17" ht="15" hidden="1" customHeight="1">
      <c r="A460" s="129">
        <f>IFERROR(INDEX(Tabela2[ID_Area], MATCH(B460,Tabela2[Area], 0)), "Não encontrado")</f>
        <v>1004</v>
      </c>
      <c r="B460" s="123" t="s">
        <v>15</v>
      </c>
      <c r="C460" s="16" t="s">
        <v>16</v>
      </c>
      <c r="D460" s="18">
        <f>IFERROR(INDEX(Metas!$D$2:$D$104, MATCH(E460,Metas!$E$2:$E$104, 0)), "Não encontrado")</f>
        <v>119</v>
      </c>
      <c r="E460" s="16" t="s">
        <v>52</v>
      </c>
      <c r="F460" s="16" t="s">
        <v>728</v>
      </c>
      <c r="G460" s="124" t="str">
        <f t="shared" ca="1" si="28"/>
        <v>Concluído</v>
      </c>
      <c r="H460" s="158">
        <v>45688</v>
      </c>
      <c r="I460" s="30">
        <v>1</v>
      </c>
      <c r="J460" s="53">
        <f t="shared" si="29"/>
        <v>61.333333333333329</v>
      </c>
      <c r="K460" s="19">
        <v>45677</v>
      </c>
      <c r="L460" s="19">
        <v>45699</v>
      </c>
      <c r="M460" s="125">
        <f t="shared" si="30"/>
        <v>23</v>
      </c>
      <c r="N460" s="130">
        <f>IFERROR(INDEX(Tabela3[ID_Responsavel], MATCH(O460,Tabela3[[Responsáveis ]], 0)), "Não encontrado")</f>
        <v>24</v>
      </c>
      <c r="O460" s="120" t="s">
        <v>47</v>
      </c>
      <c r="P460" s="128" t="s">
        <v>48</v>
      </c>
      <c r="Q460" s="126"/>
    </row>
    <row r="461" spans="1:17" ht="15" hidden="1" customHeight="1">
      <c r="A461" s="129">
        <f>IFERROR(INDEX(Tabela2[ID_Area], MATCH(B461,Tabela2[Area], 0)), "Não encontrado")</f>
        <v>1004</v>
      </c>
      <c r="B461" s="123" t="s">
        <v>15</v>
      </c>
      <c r="C461" s="16" t="s">
        <v>16</v>
      </c>
      <c r="D461" s="18">
        <f>IFERROR(INDEX(Metas!$D$2:$D$104, MATCH(E461,Metas!$E$2:$E$104, 0)), "Não encontrado")</f>
        <v>119</v>
      </c>
      <c r="E461" s="16" t="s">
        <v>52</v>
      </c>
      <c r="F461" s="16" t="s">
        <v>729</v>
      </c>
      <c r="G461" s="124" t="str">
        <f t="shared" ca="1" si="28"/>
        <v>Concluído</v>
      </c>
      <c r="H461" s="158">
        <v>45694</v>
      </c>
      <c r="I461" s="30">
        <v>1</v>
      </c>
      <c r="J461" s="53">
        <f t="shared" si="29"/>
        <v>13.333333333333332</v>
      </c>
      <c r="K461" s="19">
        <v>45712</v>
      </c>
      <c r="L461" s="19">
        <v>45716</v>
      </c>
      <c r="M461" s="125">
        <f t="shared" si="30"/>
        <v>5</v>
      </c>
      <c r="N461" s="130">
        <f>IFERROR(INDEX(Tabela3[ID_Responsavel], MATCH(O461,Tabela3[[Responsáveis ]], 0)), "Não encontrado")</f>
        <v>24</v>
      </c>
      <c r="O461" s="120" t="s">
        <v>47</v>
      </c>
      <c r="P461" s="128" t="s">
        <v>48</v>
      </c>
      <c r="Q461" s="126"/>
    </row>
    <row r="462" spans="1:17" ht="15" hidden="1" customHeight="1">
      <c r="A462" s="129">
        <f>IFERROR(INDEX(Tabela2[ID_Area], MATCH(B462,Tabela2[Area], 0)), "Não encontrado")</f>
        <v>1004</v>
      </c>
      <c r="B462" s="123" t="s">
        <v>15</v>
      </c>
      <c r="C462" s="16" t="s">
        <v>702</v>
      </c>
      <c r="D462" s="18">
        <f>IFERROR(INDEX(Metas!$D$2:$D$104, MATCH(E462,Metas!$E$2:$E$104, 0)), "Não encontrado")</f>
        <v>120</v>
      </c>
      <c r="E462" s="16" t="s">
        <v>730</v>
      </c>
      <c r="F462" s="16" t="s">
        <v>731</v>
      </c>
      <c r="G462" s="124" t="str">
        <f t="shared" ca="1" si="28"/>
        <v>Concluído</v>
      </c>
      <c r="H462" s="158">
        <v>46009</v>
      </c>
      <c r="I462" s="30">
        <v>1</v>
      </c>
      <c r="J462" s="53">
        <f t="shared" si="29"/>
        <v>22.5</v>
      </c>
      <c r="K462" s="19">
        <v>45901</v>
      </c>
      <c r="L462" s="19">
        <v>45930</v>
      </c>
      <c r="M462" s="125">
        <f t="shared" si="30"/>
        <v>30</v>
      </c>
      <c r="N462" s="130">
        <f>IFERROR(INDEX(Tabela3[ID_Responsavel], MATCH(O462,Tabela3[[Responsáveis ]], 0)), "Não encontrado")</f>
        <v>24</v>
      </c>
      <c r="O462" s="120" t="s">
        <v>47</v>
      </c>
      <c r="P462" s="128" t="s">
        <v>48</v>
      </c>
      <c r="Q462" s="126"/>
    </row>
    <row r="463" spans="1:17" ht="15" hidden="1" customHeight="1">
      <c r="A463" s="129">
        <f>IFERROR(INDEX(Tabela2[ID_Area], MATCH(B463,Tabela2[Area], 0)), "Não encontrado")</f>
        <v>1004</v>
      </c>
      <c r="B463" s="123" t="s">
        <v>15</v>
      </c>
      <c r="C463" s="16" t="s">
        <v>702</v>
      </c>
      <c r="D463" s="18">
        <f>IFERROR(INDEX(Metas!$D$2:$D$104, MATCH(E463,Metas!$E$2:$E$104, 0)), "Não encontrado")</f>
        <v>120</v>
      </c>
      <c r="E463" s="16" t="s">
        <v>730</v>
      </c>
      <c r="F463" s="16" t="s">
        <v>732</v>
      </c>
      <c r="G463" s="124" t="str">
        <f t="shared" ca="1" si="28"/>
        <v>Concluído</v>
      </c>
      <c r="H463" s="158">
        <v>46009</v>
      </c>
      <c r="I463" s="30">
        <v>1</v>
      </c>
      <c r="J463" s="53">
        <f t="shared" si="29"/>
        <v>12</v>
      </c>
      <c r="K463" s="19">
        <v>45915</v>
      </c>
      <c r="L463" s="19">
        <v>45930</v>
      </c>
      <c r="M463" s="125">
        <f t="shared" si="30"/>
        <v>16</v>
      </c>
      <c r="N463" s="130">
        <f>IFERROR(INDEX(Tabela3[ID_Responsavel], MATCH(O463,Tabela3[[Responsáveis ]], 0)), "Não encontrado")</f>
        <v>24</v>
      </c>
      <c r="O463" s="120" t="s">
        <v>47</v>
      </c>
      <c r="P463" s="128" t="s">
        <v>48</v>
      </c>
      <c r="Q463" s="126"/>
    </row>
    <row r="464" spans="1:17" ht="15" hidden="1" customHeight="1">
      <c r="A464" s="129">
        <f>IFERROR(INDEX(Tabela2[ID_Area], MATCH(B464,Tabela2[Area], 0)), "Não encontrado")</f>
        <v>1004</v>
      </c>
      <c r="B464" s="123" t="s">
        <v>15</v>
      </c>
      <c r="C464" s="16" t="s">
        <v>702</v>
      </c>
      <c r="D464" s="18">
        <f>IFERROR(INDEX(Metas!$D$2:$D$104, MATCH(E464,Metas!$E$2:$E$104, 0)), "Não encontrado")</f>
        <v>120</v>
      </c>
      <c r="E464" s="16" t="s">
        <v>730</v>
      </c>
      <c r="F464" s="16" t="s">
        <v>733</v>
      </c>
      <c r="G464" s="124" t="str">
        <f t="shared" ca="1" si="28"/>
        <v>Atrasado</v>
      </c>
      <c r="H464" s="28"/>
      <c r="I464" s="30">
        <v>0.5</v>
      </c>
      <c r="J464" s="53">
        <f t="shared" si="29"/>
        <v>57</v>
      </c>
      <c r="K464" s="19">
        <v>45901</v>
      </c>
      <c r="L464" s="19">
        <v>45976</v>
      </c>
      <c r="M464" s="125">
        <f t="shared" si="30"/>
        <v>76</v>
      </c>
      <c r="N464" s="130">
        <f>IFERROR(INDEX(Tabela3[ID_Responsavel], MATCH(O464,Tabela3[[Responsáveis ]], 0)), "Não encontrado")</f>
        <v>24</v>
      </c>
      <c r="O464" s="120" t="s">
        <v>47</v>
      </c>
      <c r="P464" s="128" t="s">
        <v>48</v>
      </c>
      <c r="Q464" s="126"/>
    </row>
    <row r="465" spans="1:17" ht="15" hidden="1" customHeight="1">
      <c r="A465" s="129">
        <f>IFERROR(INDEX(Tabela2[ID_Area], MATCH(B465,Tabela2[Area], 0)), "Não encontrado")</f>
        <v>1004</v>
      </c>
      <c r="B465" s="123" t="s">
        <v>15</v>
      </c>
      <c r="C465" s="16" t="s">
        <v>702</v>
      </c>
      <c r="D465" s="18">
        <f>IFERROR(INDEX(Metas!$D$2:$D$104, MATCH(E465,Metas!$E$2:$E$104, 0)), "Não encontrado")</f>
        <v>120</v>
      </c>
      <c r="E465" s="16" t="s">
        <v>730</v>
      </c>
      <c r="F465" s="16" t="s">
        <v>734</v>
      </c>
      <c r="G465" s="124" t="str">
        <f t="shared" ca="1" si="28"/>
        <v>Atrasado</v>
      </c>
      <c r="H465" s="28"/>
      <c r="I465" s="30">
        <v>0</v>
      </c>
      <c r="J465" s="53">
        <f t="shared" si="29"/>
        <v>12</v>
      </c>
      <c r="K465" s="19">
        <v>45976</v>
      </c>
      <c r="L465" s="19">
        <v>45991</v>
      </c>
      <c r="M465" s="125">
        <f t="shared" si="30"/>
        <v>16</v>
      </c>
      <c r="N465" s="130">
        <f>IFERROR(INDEX(Tabela3[ID_Responsavel], MATCH(O465,Tabela3[[Responsáveis ]], 0)), "Não encontrado")</f>
        <v>24</v>
      </c>
      <c r="O465" s="120" t="s">
        <v>47</v>
      </c>
      <c r="P465" s="128" t="s">
        <v>48</v>
      </c>
      <c r="Q465" s="126"/>
    </row>
    <row r="466" spans="1:17" ht="15" hidden="1" customHeight="1">
      <c r="A466" s="129">
        <f>IFERROR(INDEX(Tabela2[ID_Area], MATCH(B466,Tabela2[Area], 0)), "Não encontrado")</f>
        <v>1004</v>
      </c>
      <c r="B466" s="123" t="s">
        <v>15</v>
      </c>
      <c r="C466" s="16" t="s">
        <v>702</v>
      </c>
      <c r="D466" s="18">
        <f>IFERROR(INDEX(Metas!$D$2:$D$104, MATCH(E466,Metas!$E$2:$E$104, 0)), "Não encontrado")</f>
        <v>120</v>
      </c>
      <c r="E466" s="16" t="s">
        <v>730</v>
      </c>
      <c r="F466" s="16" t="s">
        <v>735</v>
      </c>
      <c r="G466" s="124" t="str">
        <f t="shared" ca="1" si="28"/>
        <v>Atrasado</v>
      </c>
      <c r="H466" s="28"/>
      <c r="I466" s="30">
        <v>0</v>
      </c>
      <c r="J466" s="53">
        <f t="shared" si="29"/>
        <v>16.5</v>
      </c>
      <c r="K466" s="19">
        <v>45992</v>
      </c>
      <c r="L466" s="19">
        <v>46013</v>
      </c>
      <c r="M466" s="125">
        <f t="shared" si="30"/>
        <v>22</v>
      </c>
      <c r="N466" s="130">
        <f>IFERROR(INDEX(Tabela3[ID_Responsavel], MATCH(O466,Tabela3[[Responsáveis ]], 0)), "Não encontrado")</f>
        <v>24</v>
      </c>
      <c r="O466" s="120" t="s">
        <v>47</v>
      </c>
      <c r="P466" s="128" t="s">
        <v>48</v>
      </c>
      <c r="Q466" s="126"/>
    </row>
    <row r="467" spans="1:17" ht="15" hidden="1" customHeight="1">
      <c r="A467" s="129">
        <f>IFERROR(INDEX(Tabela2[ID_Area], MATCH(B467,Tabela2[Area], 0)), "Não encontrado")</f>
        <v>1004</v>
      </c>
      <c r="B467" s="123" t="s">
        <v>15</v>
      </c>
      <c r="C467" s="16" t="s">
        <v>33</v>
      </c>
      <c r="D467" s="18">
        <f>IFERROR(INDEX(Metas!$D$2:$D$104, MATCH(E467,Metas!$E$2:$E$104, 0)), "Não encontrado")</f>
        <v>118</v>
      </c>
      <c r="E467" s="16" t="s">
        <v>51</v>
      </c>
      <c r="F467" s="16" t="s">
        <v>708</v>
      </c>
      <c r="G467" s="124" t="str">
        <f t="shared" ca="1" si="28"/>
        <v>Concluído</v>
      </c>
      <c r="H467" s="158">
        <v>45930</v>
      </c>
      <c r="I467" s="30">
        <v>1</v>
      </c>
      <c r="J467" s="53">
        <f t="shared" si="29"/>
        <v>8.8019559902200495</v>
      </c>
      <c r="K467" s="19">
        <v>45748</v>
      </c>
      <c r="L467" s="19">
        <v>45777</v>
      </c>
      <c r="M467" s="125">
        <f t="shared" si="30"/>
        <v>30</v>
      </c>
      <c r="N467" s="130">
        <f>IFERROR(INDEX(Tabela3[ID_Responsavel], MATCH(O467,Tabela3[[Responsáveis ]], 0)), "Não encontrado")</f>
        <v>24</v>
      </c>
      <c r="O467" s="120" t="s">
        <v>47</v>
      </c>
      <c r="P467" s="128" t="s">
        <v>48</v>
      </c>
      <c r="Q467" s="126"/>
    </row>
    <row r="468" spans="1:17" ht="15" hidden="1" customHeight="1">
      <c r="A468" s="129">
        <f>IFERROR(INDEX(Tabela2[ID_Area], MATCH(B468,Tabela2[Area], 0)), "Não encontrado")</f>
        <v>1004</v>
      </c>
      <c r="B468" s="123" t="s">
        <v>15</v>
      </c>
      <c r="C468" s="16" t="s">
        <v>33</v>
      </c>
      <c r="D468" s="18">
        <f>IFERROR(INDEX(Metas!$D$2:$D$104, MATCH(E468,Metas!$E$2:$E$104, 0)), "Não encontrado")</f>
        <v>118</v>
      </c>
      <c r="E468" s="16" t="s">
        <v>51</v>
      </c>
      <c r="F468" s="16" t="s">
        <v>709</v>
      </c>
      <c r="G468" s="124" t="str">
        <f t="shared" ca="1" si="28"/>
        <v>Concluído</v>
      </c>
      <c r="H468" s="158">
        <v>45930</v>
      </c>
      <c r="I468" s="30">
        <v>1</v>
      </c>
      <c r="J468" s="53">
        <f t="shared" si="29"/>
        <v>40.78239608801956</v>
      </c>
      <c r="K468" s="19">
        <v>45777</v>
      </c>
      <c r="L468" s="19">
        <v>45915</v>
      </c>
      <c r="M468" s="125">
        <f t="shared" si="30"/>
        <v>139</v>
      </c>
      <c r="N468" s="130">
        <f>IFERROR(INDEX(Tabela3[ID_Responsavel], MATCH(O468,Tabela3[[Responsáveis ]], 0)), "Não encontrado")</f>
        <v>24</v>
      </c>
      <c r="O468" s="120" t="s">
        <v>47</v>
      </c>
      <c r="P468" s="128" t="s">
        <v>48</v>
      </c>
      <c r="Q468" s="126"/>
    </row>
    <row r="469" spans="1:17" ht="15" hidden="1" customHeight="1">
      <c r="A469" s="129">
        <f>IFERROR(INDEX(Tabela2[ID_Area], MATCH(B469,Tabela2[Area], 0)), "Não encontrado")</f>
        <v>1004</v>
      </c>
      <c r="B469" s="123" t="s">
        <v>15</v>
      </c>
      <c r="C469" s="16" t="s">
        <v>33</v>
      </c>
      <c r="D469" s="18">
        <f>IFERROR(INDEX(Metas!$D$2:$D$104, MATCH(E469,Metas!$E$2:$E$104, 0)), "Não encontrado")</f>
        <v>118</v>
      </c>
      <c r="E469" s="16" t="s">
        <v>51</v>
      </c>
      <c r="F469" s="16" t="s">
        <v>710</v>
      </c>
      <c r="G469" s="124" t="str">
        <f t="shared" ca="1" si="28"/>
        <v>Concluído</v>
      </c>
      <c r="H469" s="158">
        <v>45930</v>
      </c>
      <c r="I469" s="30">
        <v>1</v>
      </c>
      <c r="J469" s="53">
        <f t="shared" si="29"/>
        <v>4.9877750611246938</v>
      </c>
      <c r="K469" s="19">
        <v>45792</v>
      </c>
      <c r="L469" s="19">
        <v>45808</v>
      </c>
      <c r="M469" s="125">
        <f t="shared" si="30"/>
        <v>17</v>
      </c>
      <c r="N469" s="130">
        <f>IFERROR(INDEX(Tabela3[ID_Responsavel], MATCH(O469,Tabela3[[Responsáveis ]], 0)), "Não encontrado")</f>
        <v>24</v>
      </c>
      <c r="O469" s="120" t="s">
        <v>47</v>
      </c>
      <c r="P469" s="128" t="s">
        <v>48</v>
      </c>
      <c r="Q469" s="126"/>
    </row>
    <row r="470" spans="1:17" ht="15" hidden="1" customHeight="1">
      <c r="A470" s="129">
        <f>IFERROR(INDEX(Tabela2[ID_Area], MATCH(B470,Tabela2[Area], 0)), "Não encontrado")</f>
        <v>1004</v>
      </c>
      <c r="B470" s="123" t="s">
        <v>15</v>
      </c>
      <c r="C470" s="16" t="s">
        <v>33</v>
      </c>
      <c r="D470" s="18">
        <f>IFERROR(INDEX(Metas!$D$2:$D$104, MATCH(E470,Metas!$E$2:$E$104, 0)), "Não encontrado")</f>
        <v>118</v>
      </c>
      <c r="E470" s="16" t="s">
        <v>51</v>
      </c>
      <c r="F470" s="16" t="s">
        <v>711</v>
      </c>
      <c r="G470" s="124" t="str">
        <f t="shared" ca="1" si="28"/>
        <v>Concluído</v>
      </c>
      <c r="H470" s="158">
        <v>46010</v>
      </c>
      <c r="I470" s="30">
        <v>1</v>
      </c>
      <c r="J470" s="53">
        <f t="shared" si="29"/>
        <v>33.154034229828852</v>
      </c>
      <c r="K470" s="19">
        <v>45823</v>
      </c>
      <c r="L470" s="19">
        <v>45935</v>
      </c>
      <c r="M470" s="125">
        <f t="shared" si="30"/>
        <v>113</v>
      </c>
      <c r="N470" s="130">
        <f>IFERROR(INDEX(Tabela3[ID_Responsavel], MATCH(O470,Tabela3[[Responsáveis ]], 0)), "Não encontrado")</f>
        <v>24</v>
      </c>
      <c r="O470" s="120" t="s">
        <v>47</v>
      </c>
      <c r="P470" s="128" t="s">
        <v>48</v>
      </c>
      <c r="Q470" s="126"/>
    </row>
    <row r="471" spans="1:17" ht="15" hidden="1" customHeight="1">
      <c r="A471" s="129">
        <f>IFERROR(INDEX(Tabela2[ID_Area], MATCH(B471,Tabela2[Area], 0)), "Não encontrado")</f>
        <v>1004</v>
      </c>
      <c r="B471" s="123" t="s">
        <v>15</v>
      </c>
      <c r="C471" s="16" t="s">
        <v>33</v>
      </c>
      <c r="D471" s="18">
        <f>IFERROR(INDEX(Metas!$D$2:$D$104, MATCH(E471,Metas!$E$2:$E$104, 0)), "Não encontrado")</f>
        <v>118</v>
      </c>
      <c r="E471" s="16" t="s">
        <v>51</v>
      </c>
      <c r="F471" s="16" t="s">
        <v>712</v>
      </c>
      <c r="G471" s="124" t="str">
        <f t="shared" ca="1" si="28"/>
        <v>Concluído</v>
      </c>
      <c r="H471" s="158">
        <v>46010</v>
      </c>
      <c r="I471" s="30">
        <v>1</v>
      </c>
      <c r="J471" s="53">
        <f t="shared" si="29"/>
        <v>1.7603911980440097</v>
      </c>
      <c r="K471" s="19">
        <v>45935</v>
      </c>
      <c r="L471" s="19">
        <v>45940</v>
      </c>
      <c r="M471" s="125">
        <f t="shared" si="30"/>
        <v>6</v>
      </c>
      <c r="N471" s="130">
        <f>IFERROR(INDEX(Tabela3[ID_Responsavel], MATCH(O471,Tabela3[[Responsáveis ]], 0)), "Não encontrado")</f>
        <v>24</v>
      </c>
      <c r="O471" s="120" t="s">
        <v>47</v>
      </c>
      <c r="P471" s="128" t="s">
        <v>48</v>
      </c>
      <c r="Q471" s="126"/>
    </row>
    <row r="472" spans="1:17" ht="15" hidden="1" customHeight="1">
      <c r="A472" s="129">
        <f>IFERROR(INDEX(Tabela2[ID_Area], MATCH(B472,Tabela2[Area], 0)), "Não encontrado")</f>
        <v>1004</v>
      </c>
      <c r="B472" s="123" t="s">
        <v>15</v>
      </c>
      <c r="C472" s="16" t="s">
        <v>33</v>
      </c>
      <c r="D472" s="18">
        <f>IFERROR(INDEX(Metas!$D$2:$D$104, MATCH(E472,Metas!$E$2:$E$104, 0)), "Não encontrado")</f>
        <v>118</v>
      </c>
      <c r="E472" s="16" t="s">
        <v>51</v>
      </c>
      <c r="F472" s="16" t="s">
        <v>713</v>
      </c>
      <c r="G472" s="124" t="str">
        <f t="shared" ca="1" si="28"/>
        <v>Concluído</v>
      </c>
      <c r="H472" s="158">
        <v>46010</v>
      </c>
      <c r="I472" s="30">
        <v>1</v>
      </c>
      <c r="J472" s="53">
        <f t="shared" si="29"/>
        <v>15.256723716381419</v>
      </c>
      <c r="K472" s="19">
        <v>45940</v>
      </c>
      <c r="L472" s="19">
        <v>45991</v>
      </c>
      <c r="M472" s="125">
        <f t="shared" si="30"/>
        <v>52</v>
      </c>
      <c r="N472" s="130">
        <f>IFERROR(INDEX(Tabela3[ID_Responsavel], MATCH(O472,Tabela3[[Responsáveis ]], 0)), "Não encontrado")</f>
        <v>24</v>
      </c>
      <c r="O472" s="121" t="s">
        <v>47</v>
      </c>
      <c r="P472" s="131" t="s">
        <v>48</v>
      </c>
      <c r="Q472" s="126"/>
    </row>
    <row r="473" spans="1:17" ht="15" hidden="1" customHeight="1">
      <c r="A473" s="122">
        <f>IFERROR(INDEX(Tabela2[ID_Area], MATCH(B473,Tabela2[Area], 0)), "Não encontrado")</f>
        <v>1004</v>
      </c>
      <c r="B473" s="116" t="s">
        <v>15</v>
      </c>
      <c r="C473" s="23" t="s">
        <v>33</v>
      </c>
      <c r="D473" s="24">
        <f>IFERROR(INDEX(Metas!$D$2:$D$104, MATCH(E473,Metas!$E$2:$E$104, 0)), "Não encontrado")</f>
        <v>118</v>
      </c>
      <c r="E473" s="16" t="s">
        <v>51</v>
      </c>
      <c r="F473" s="23" t="s">
        <v>714</v>
      </c>
      <c r="G473" s="62" t="str">
        <f t="shared" ca="1" si="28"/>
        <v>Concluído</v>
      </c>
      <c r="H473" s="159">
        <v>46010</v>
      </c>
      <c r="I473" s="118">
        <v>1</v>
      </c>
      <c r="J473" s="53">
        <f t="shared" si="29"/>
        <v>15.256723716381419</v>
      </c>
      <c r="K473" s="25">
        <v>45940</v>
      </c>
      <c r="L473" s="25">
        <v>45991</v>
      </c>
      <c r="M473" s="26">
        <f t="shared" si="30"/>
        <v>52</v>
      </c>
      <c r="N473" s="69">
        <f>IFERROR(INDEX(Tabela3[ID_Responsavel], MATCH(O473,Tabela3[[Responsáveis ]], 0)), "Não encontrado")</f>
        <v>24</v>
      </c>
      <c r="O473" s="120" t="s">
        <v>47</v>
      </c>
      <c r="P473" s="128" t="s">
        <v>48</v>
      </c>
      <c r="Q473" s="127"/>
    </row>
    <row r="474" spans="1:17" ht="15" hidden="1" customHeight="1">
      <c r="A474" s="122">
        <f>IFERROR(INDEX(Tabela2[ID_Area], MATCH(B474,Tabela2[Area], 0)), "Não encontrado")</f>
        <v>1004</v>
      </c>
      <c r="B474" s="116" t="s">
        <v>15</v>
      </c>
      <c r="C474" s="16" t="s">
        <v>16</v>
      </c>
      <c r="D474" s="24">
        <f>IFERROR(INDEX(Metas!$D$2:$D$104, MATCH(E474,Metas!$E$2:$E$104, 0)), "Não encontrado")</f>
        <v>103</v>
      </c>
      <c r="E474" s="16" t="s">
        <v>27</v>
      </c>
      <c r="F474" s="16" t="s">
        <v>663</v>
      </c>
      <c r="G474" s="62" t="str">
        <f t="shared" ca="1" si="28"/>
        <v>Concluído</v>
      </c>
      <c r="H474" s="29"/>
      <c r="I474" s="133">
        <v>1</v>
      </c>
      <c r="J474" s="53">
        <f t="shared" si="29"/>
        <v>3.3103448275862069</v>
      </c>
      <c r="K474" s="19">
        <v>45659</v>
      </c>
      <c r="L474" s="19">
        <v>45690</v>
      </c>
      <c r="M474" s="26">
        <f t="shared" si="30"/>
        <v>32</v>
      </c>
      <c r="N474" s="69">
        <f>IFERROR(INDEX(Tabela3[ID_Responsavel], MATCH(O474,Tabela3[[Responsáveis ]], 0)), "Não encontrado")</f>
        <v>25</v>
      </c>
      <c r="O474" s="132" t="s">
        <v>18</v>
      </c>
      <c r="P474" s="132" t="s">
        <v>19</v>
      </c>
      <c r="Q474" s="126"/>
    </row>
    <row r="475" spans="1:17" ht="15" hidden="1" customHeight="1">
      <c r="A475" s="122">
        <f>IFERROR(INDEX(Tabela2[ID_Area], MATCH(B475,Tabela2[Area], 0)), "Não encontrado")</f>
        <v>1004</v>
      </c>
      <c r="B475" s="116" t="s">
        <v>15</v>
      </c>
      <c r="C475" s="16" t="s">
        <v>16</v>
      </c>
      <c r="D475" s="24">
        <f>IFERROR(INDEX(Metas!$D$2:$D$104, MATCH(E475,Metas!$E$2:$E$104, 0)), "Não encontrado")</f>
        <v>103</v>
      </c>
      <c r="E475" s="16" t="s">
        <v>27</v>
      </c>
      <c r="F475" s="16" t="s">
        <v>664</v>
      </c>
      <c r="G475" s="62" t="str">
        <f t="shared" ref="G475:G502" ca="1" si="31">IF(I475=0,"Não iniciado",IF(I475=1,"Concluído",IF(TODAY()&gt;L475,"Atrasado","Em Andamento")))</f>
        <v>Concluído</v>
      </c>
      <c r="H475" s="29"/>
      <c r="I475" s="133">
        <v>1</v>
      </c>
      <c r="J475" s="53">
        <f t="shared" si="29"/>
        <v>3.3103448275862069</v>
      </c>
      <c r="K475" s="19">
        <v>45659</v>
      </c>
      <c r="L475" s="19">
        <v>45690</v>
      </c>
      <c r="M475" s="26">
        <f t="shared" si="30"/>
        <v>32</v>
      </c>
      <c r="N475" s="69">
        <f>IFERROR(INDEX(Tabela3[ID_Responsavel], MATCH(O475,Tabela3[[Responsáveis ]], 0)), "Não encontrado")</f>
        <v>25</v>
      </c>
      <c r="O475" s="132" t="s">
        <v>18</v>
      </c>
      <c r="P475" s="132" t="s">
        <v>19</v>
      </c>
      <c r="Q475" s="126"/>
    </row>
    <row r="476" spans="1:17" ht="15" hidden="1" customHeight="1">
      <c r="A476" s="122">
        <f>IFERROR(INDEX(Tabela2[ID_Area], MATCH(B476,Tabela2[Area], 0)), "Não encontrado")</f>
        <v>1004</v>
      </c>
      <c r="B476" s="116" t="s">
        <v>15</v>
      </c>
      <c r="C476" s="16" t="s">
        <v>16</v>
      </c>
      <c r="D476" s="24">
        <f>IFERROR(INDEX(Metas!$D$2:$D$104, MATCH(E476,Metas!$E$2:$E$104, 0)), "Não encontrado")</f>
        <v>103</v>
      </c>
      <c r="E476" s="16" t="s">
        <v>27</v>
      </c>
      <c r="F476" s="16" t="s">
        <v>665</v>
      </c>
      <c r="G476" s="62" t="str">
        <f t="shared" ca="1" si="31"/>
        <v>Concluído</v>
      </c>
      <c r="H476" s="29"/>
      <c r="I476" s="133">
        <v>1</v>
      </c>
      <c r="J476" s="53">
        <f t="shared" si="29"/>
        <v>3.827586206896552</v>
      </c>
      <c r="K476" s="19">
        <v>45672</v>
      </c>
      <c r="L476" s="19">
        <v>45708</v>
      </c>
      <c r="M476" s="26">
        <f t="shared" si="30"/>
        <v>37</v>
      </c>
      <c r="N476" s="69">
        <f>IFERROR(INDEX(Tabela3[ID_Responsavel], MATCH(O476,Tabela3[[Responsáveis ]], 0)), "Não encontrado")</f>
        <v>25</v>
      </c>
      <c r="O476" s="132" t="s">
        <v>18</v>
      </c>
      <c r="P476" s="132" t="s">
        <v>19</v>
      </c>
      <c r="Q476" s="126"/>
    </row>
    <row r="477" spans="1:17" ht="15" hidden="1" customHeight="1">
      <c r="A477" s="122">
        <f>IFERROR(INDEX(Tabela2[ID_Area], MATCH(B477,Tabela2[Area], 0)), "Não encontrado")</f>
        <v>1004</v>
      </c>
      <c r="B477" s="116" t="s">
        <v>15</v>
      </c>
      <c r="C477" s="16" t="s">
        <v>16</v>
      </c>
      <c r="D477" s="24">
        <f>IFERROR(INDEX(Metas!$D$2:$D$104, MATCH(E477,Metas!$E$2:$E$104, 0)), "Não encontrado")</f>
        <v>103</v>
      </c>
      <c r="E477" s="16" t="s">
        <v>27</v>
      </c>
      <c r="F477" s="16" t="s">
        <v>666</v>
      </c>
      <c r="G477" s="62" t="str">
        <f t="shared" ca="1" si="31"/>
        <v>Concluído</v>
      </c>
      <c r="H477" s="29"/>
      <c r="I477" s="133">
        <v>1</v>
      </c>
      <c r="J477" s="53">
        <f t="shared" si="29"/>
        <v>5.5862068965517242</v>
      </c>
      <c r="K477" s="19">
        <v>45659</v>
      </c>
      <c r="L477" s="19">
        <v>45712</v>
      </c>
      <c r="M477" s="26">
        <f t="shared" si="30"/>
        <v>54</v>
      </c>
      <c r="N477" s="69">
        <f>IFERROR(INDEX(Tabela3[ID_Responsavel], MATCH(O477,Tabela3[[Responsáveis ]], 0)), "Não encontrado")</f>
        <v>25</v>
      </c>
      <c r="O477" s="132" t="s">
        <v>18</v>
      </c>
      <c r="P477" s="132" t="s">
        <v>19</v>
      </c>
      <c r="Q477" s="126"/>
    </row>
    <row r="478" spans="1:17" ht="15" hidden="1" customHeight="1">
      <c r="A478" s="122">
        <f>IFERROR(INDEX(Tabela2[ID_Area], MATCH(B478,Tabela2[Area], 0)), "Não encontrado")</f>
        <v>1004</v>
      </c>
      <c r="B478" s="116" t="s">
        <v>15</v>
      </c>
      <c r="C478" s="16" t="s">
        <v>16</v>
      </c>
      <c r="D478" s="24">
        <f>IFERROR(INDEX(Metas!$D$2:$D$104, MATCH(E478,Metas!$E$2:$E$104, 0)), "Não encontrado")</f>
        <v>103</v>
      </c>
      <c r="E478" s="16" t="s">
        <v>27</v>
      </c>
      <c r="F478" s="16" t="s">
        <v>667</v>
      </c>
      <c r="G478" s="62" t="str">
        <f t="shared" ca="1" si="31"/>
        <v>Concluído</v>
      </c>
      <c r="H478" s="29"/>
      <c r="I478" s="133">
        <v>1</v>
      </c>
      <c r="J478" s="53">
        <f t="shared" si="29"/>
        <v>6</v>
      </c>
      <c r="K478" s="19">
        <v>45659</v>
      </c>
      <c r="L478" s="19">
        <v>45716</v>
      </c>
      <c r="M478" s="26">
        <f t="shared" si="30"/>
        <v>58</v>
      </c>
      <c r="N478" s="69">
        <f>IFERROR(INDEX(Tabela3[ID_Responsavel], MATCH(O478,Tabela3[[Responsáveis ]], 0)), "Não encontrado")</f>
        <v>25</v>
      </c>
      <c r="O478" s="132" t="s">
        <v>18</v>
      </c>
      <c r="P478" s="132" t="s">
        <v>19</v>
      </c>
      <c r="Q478" s="126"/>
    </row>
    <row r="479" spans="1:17" ht="15" hidden="1" customHeight="1">
      <c r="A479" s="122">
        <f>IFERROR(INDEX(Tabela2[ID_Area], MATCH(B479,Tabela2[Area], 0)), "Não encontrado")</f>
        <v>1004</v>
      </c>
      <c r="B479" s="116" t="s">
        <v>15</v>
      </c>
      <c r="C479" s="16" t="s">
        <v>16</v>
      </c>
      <c r="D479" s="24">
        <f>IFERROR(INDEX(Metas!$D$2:$D$104, MATCH(E479,Metas!$E$2:$E$104, 0)), "Não encontrado")</f>
        <v>103</v>
      </c>
      <c r="E479" s="16" t="s">
        <v>27</v>
      </c>
      <c r="F479" s="16" t="s">
        <v>668</v>
      </c>
      <c r="G479" s="62" t="str">
        <f t="shared" ca="1" si="31"/>
        <v>Concluído</v>
      </c>
      <c r="H479" s="29"/>
      <c r="I479" s="133">
        <v>1</v>
      </c>
      <c r="J479" s="53">
        <f t="shared" si="29"/>
        <v>35.275862068965516</v>
      </c>
      <c r="K479" s="19">
        <v>45682</v>
      </c>
      <c r="L479" s="19">
        <v>46022</v>
      </c>
      <c r="M479" s="26">
        <f t="shared" si="30"/>
        <v>341</v>
      </c>
      <c r="N479" s="69">
        <f>IFERROR(INDEX(Tabela3[ID_Responsavel], MATCH(O479,Tabela3[[Responsáveis ]], 0)), "Não encontrado")</f>
        <v>25</v>
      </c>
      <c r="O479" s="132" t="s">
        <v>18</v>
      </c>
      <c r="P479" s="132" t="s">
        <v>19</v>
      </c>
      <c r="Q479" s="126"/>
    </row>
    <row r="480" spans="1:17" ht="15" hidden="1" customHeight="1">
      <c r="A480" s="122">
        <f>IFERROR(INDEX(Tabela2[ID_Area], MATCH(B480,Tabela2[Area], 0)), "Não encontrado")</f>
        <v>1004</v>
      </c>
      <c r="B480" s="116" t="s">
        <v>15</v>
      </c>
      <c r="C480" s="16" t="s">
        <v>16</v>
      </c>
      <c r="D480" s="24">
        <f>IFERROR(INDEX(Metas!$D$2:$D$104, MATCH(E480,Metas!$E$2:$E$104, 0)), "Não encontrado")</f>
        <v>103</v>
      </c>
      <c r="E480" s="16" t="s">
        <v>27</v>
      </c>
      <c r="F480" s="16" t="s">
        <v>669</v>
      </c>
      <c r="G480" s="62" t="str">
        <f t="shared" ca="1" si="31"/>
        <v>Concluído</v>
      </c>
      <c r="H480" s="29"/>
      <c r="I480" s="133">
        <v>1</v>
      </c>
      <c r="J480" s="53">
        <f t="shared" si="29"/>
        <v>9.6206896551724128</v>
      </c>
      <c r="K480" s="19">
        <v>45659</v>
      </c>
      <c r="L480" s="19">
        <v>45751</v>
      </c>
      <c r="M480" s="26">
        <f t="shared" si="30"/>
        <v>93</v>
      </c>
      <c r="N480" s="69">
        <f>IFERROR(INDEX(Tabela3[ID_Responsavel], MATCH(O480,Tabela3[[Responsáveis ]], 0)), "Não encontrado")</f>
        <v>25</v>
      </c>
      <c r="O480" s="132" t="s">
        <v>18</v>
      </c>
      <c r="P480" s="132" t="s">
        <v>19</v>
      </c>
      <c r="Q480" s="126"/>
    </row>
    <row r="481" spans="1:17" ht="15" hidden="1" customHeight="1">
      <c r="A481" s="122">
        <f>IFERROR(INDEX(Tabela2[ID_Area], MATCH(B481,Tabela2[Area], 0)), "Não encontrado")</f>
        <v>1004</v>
      </c>
      <c r="B481" s="116" t="s">
        <v>15</v>
      </c>
      <c r="C481" s="16" t="s">
        <v>16</v>
      </c>
      <c r="D481" s="24">
        <f>IFERROR(INDEX(Metas!$D$2:$D$104, MATCH(E481,Metas!$E$2:$E$104, 0)), "Não encontrado")</f>
        <v>103</v>
      </c>
      <c r="E481" s="16" t="s">
        <v>27</v>
      </c>
      <c r="F481" s="16" t="s">
        <v>670</v>
      </c>
      <c r="G481" s="62" t="str">
        <f t="shared" ca="1" si="31"/>
        <v>Concluído</v>
      </c>
      <c r="H481" s="29"/>
      <c r="I481" s="133">
        <v>1</v>
      </c>
      <c r="J481" s="53">
        <f t="shared" si="29"/>
        <v>6.3103448275862073</v>
      </c>
      <c r="K481" s="19">
        <v>45659</v>
      </c>
      <c r="L481" s="19">
        <v>45719</v>
      </c>
      <c r="M481" s="26">
        <f t="shared" si="30"/>
        <v>61</v>
      </c>
      <c r="N481" s="69">
        <f>IFERROR(INDEX(Tabela3[ID_Responsavel], MATCH(O481,Tabela3[[Responsáveis ]], 0)), "Não encontrado")</f>
        <v>25</v>
      </c>
      <c r="O481" s="132" t="s">
        <v>18</v>
      </c>
      <c r="P481" s="132" t="s">
        <v>19</v>
      </c>
      <c r="Q481" s="126"/>
    </row>
    <row r="482" spans="1:17" ht="15" hidden="1" customHeight="1">
      <c r="A482" s="122">
        <f>IFERROR(INDEX(Tabela2[ID_Area], MATCH(B482,Tabela2[Area], 0)), "Não encontrado")</f>
        <v>1004</v>
      </c>
      <c r="B482" s="116" t="s">
        <v>15</v>
      </c>
      <c r="C482" s="16" t="s">
        <v>16</v>
      </c>
      <c r="D482" s="24">
        <f>IFERROR(INDEX(Metas!$D$2:$D$104, MATCH(E482,Metas!$E$2:$E$104, 0)), "Não encontrado")</f>
        <v>103</v>
      </c>
      <c r="E482" s="16" t="s">
        <v>27</v>
      </c>
      <c r="F482" s="16" t="s">
        <v>671</v>
      </c>
      <c r="G482" s="62" t="str">
        <f t="shared" ca="1" si="31"/>
        <v>Concluído</v>
      </c>
      <c r="H482" s="29"/>
      <c r="I482" s="133">
        <v>1</v>
      </c>
      <c r="J482" s="53">
        <f t="shared" si="29"/>
        <v>3.3103448275862069</v>
      </c>
      <c r="K482" s="19">
        <v>45720</v>
      </c>
      <c r="L482" s="19">
        <v>45751</v>
      </c>
      <c r="M482" s="26">
        <f t="shared" si="30"/>
        <v>32</v>
      </c>
      <c r="N482" s="69">
        <f>IFERROR(INDEX(Tabela3[ID_Responsavel], MATCH(O482,Tabela3[[Responsáveis ]], 0)), "Não encontrado")</f>
        <v>25</v>
      </c>
      <c r="O482" s="132" t="s">
        <v>18</v>
      </c>
      <c r="P482" s="132" t="s">
        <v>19</v>
      </c>
      <c r="Q482" s="126"/>
    </row>
    <row r="483" spans="1:17" ht="15" hidden="1" customHeight="1">
      <c r="A483" s="122">
        <f>IFERROR(INDEX(Tabela2[ID_Area], MATCH(B483,Tabela2[Area], 0)), "Não encontrado")</f>
        <v>1004</v>
      </c>
      <c r="B483" s="116" t="s">
        <v>15</v>
      </c>
      <c r="C483" s="16" t="s">
        <v>16</v>
      </c>
      <c r="D483" s="24">
        <f>IFERROR(INDEX(Metas!$D$2:$D$104, MATCH(E483,Metas!$E$2:$E$104, 0)), "Não encontrado")</f>
        <v>103</v>
      </c>
      <c r="E483" s="16" t="s">
        <v>27</v>
      </c>
      <c r="F483" s="16" t="s">
        <v>672</v>
      </c>
      <c r="G483" s="62" t="str">
        <f t="shared" ca="1" si="31"/>
        <v>Concluído</v>
      </c>
      <c r="H483" s="29"/>
      <c r="I483" s="133">
        <v>1</v>
      </c>
      <c r="J483" s="53">
        <f t="shared" si="29"/>
        <v>21.724137931034484</v>
      </c>
      <c r="K483" s="19">
        <v>45659</v>
      </c>
      <c r="L483" s="19">
        <v>45868</v>
      </c>
      <c r="M483" s="26">
        <f t="shared" si="30"/>
        <v>210</v>
      </c>
      <c r="N483" s="69">
        <f>IFERROR(INDEX(Tabela3[ID_Responsavel], MATCH(O483,Tabela3[[Responsáveis ]], 0)), "Não encontrado")</f>
        <v>25</v>
      </c>
      <c r="O483" s="132" t="s">
        <v>18</v>
      </c>
      <c r="P483" s="132" t="s">
        <v>19</v>
      </c>
      <c r="Q483" s="126"/>
    </row>
    <row r="484" spans="1:17" ht="15" hidden="1" customHeight="1">
      <c r="A484" s="122">
        <f>IFERROR(INDEX(Tabela2[ID_Area], MATCH(B484,Tabela2[Area], 0)), "Não encontrado")</f>
        <v>1004</v>
      </c>
      <c r="B484" s="116" t="s">
        <v>15</v>
      </c>
      <c r="C484" s="16" t="s">
        <v>16</v>
      </c>
      <c r="D484" s="24">
        <f>IFERROR(INDEX(Metas!$D$2:$D$104, MATCH(E484,Metas!$E$2:$E$104, 0)), "Não encontrado")</f>
        <v>103</v>
      </c>
      <c r="E484" s="16" t="s">
        <v>27</v>
      </c>
      <c r="F484" s="16" t="s">
        <v>673</v>
      </c>
      <c r="G484" s="62" t="str">
        <f t="shared" ca="1" si="31"/>
        <v>Concluído</v>
      </c>
      <c r="H484" s="29"/>
      <c r="I484" s="133">
        <v>1</v>
      </c>
      <c r="J484" s="53">
        <f t="shared" si="29"/>
        <v>8.068965517241379</v>
      </c>
      <c r="K484" s="19">
        <v>45659</v>
      </c>
      <c r="L484" s="19">
        <v>45736</v>
      </c>
      <c r="M484" s="26">
        <f t="shared" si="30"/>
        <v>78</v>
      </c>
      <c r="N484" s="69">
        <f>IFERROR(INDEX(Tabela3[ID_Responsavel], MATCH(O484,Tabela3[[Responsáveis ]], 0)), "Não encontrado")</f>
        <v>25</v>
      </c>
      <c r="O484" s="132" t="s">
        <v>18</v>
      </c>
      <c r="P484" s="132" t="s">
        <v>19</v>
      </c>
      <c r="Q484" s="126"/>
    </row>
    <row r="485" spans="1:17" ht="15" hidden="1" customHeight="1">
      <c r="A485" s="122">
        <f>IFERROR(INDEX(Tabela2[ID_Area], MATCH(B485,Tabela2[Area], 0)), "Não encontrado")</f>
        <v>1004</v>
      </c>
      <c r="B485" s="116" t="s">
        <v>15</v>
      </c>
      <c r="C485" s="16" t="s">
        <v>16</v>
      </c>
      <c r="D485" s="24">
        <f>IFERROR(INDEX(Metas!$D$2:$D$104, MATCH(E485,Metas!$E$2:$E$104, 0)), "Não encontrado")</f>
        <v>103</v>
      </c>
      <c r="E485" s="16" t="s">
        <v>27</v>
      </c>
      <c r="F485" s="16" t="s">
        <v>668</v>
      </c>
      <c r="G485" s="62" t="str">
        <f t="shared" ca="1" si="31"/>
        <v>Concluído</v>
      </c>
      <c r="H485" s="29"/>
      <c r="I485" s="133">
        <v>1</v>
      </c>
      <c r="J485" s="53">
        <f t="shared" si="29"/>
        <v>13.655172413793103</v>
      </c>
      <c r="K485" s="19">
        <v>45737</v>
      </c>
      <c r="L485" s="19">
        <v>45868</v>
      </c>
      <c r="M485" s="26">
        <f t="shared" si="30"/>
        <v>132</v>
      </c>
      <c r="N485" s="69">
        <f>IFERROR(INDEX(Tabela3[ID_Responsavel], MATCH(O485,Tabela3[[Responsáveis ]], 0)), "Não encontrado")</f>
        <v>25</v>
      </c>
      <c r="O485" s="132" t="s">
        <v>18</v>
      </c>
      <c r="P485" s="132" t="s">
        <v>19</v>
      </c>
      <c r="Q485" s="126"/>
    </row>
    <row r="486" spans="1:17" ht="15" hidden="1" customHeight="1">
      <c r="A486" s="122">
        <f>IFERROR(INDEX(Tabela2[ID_Area], MATCH(B486,Tabela2[Area], 0)), "Não encontrado")</f>
        <v>1004</v>
      </c>
      <c r="B486" s="116" t="s">
        <v>15</v>
      </c>
      <c r="C486" s="16" t="s">
        <v>16</v>
      </c>
      <c r="D486" s="24">
        <f>IFERROR(INDEX(Metas!$D$2:$D$104, MATCH(E486,Metas!$E$2:$E$104, 0)), "Não encontrado")</f>
        <v>104</v>
      </c>
      <c r="E486" s="16" t="s">
        <v>28</v>
      </c>
      <c r="F486" s="16" t="s">
        <v>643</v>
      </c>
      <c r="G486" s="62" t="str">
        <f t="shared" ca="1" si="31"/>
        <v>Concluído</v>
      </c>
      <c r="H486" s="157">
        <v>45910</v>
      </c>
      <c r="I486" s="134">
        <v>1</v>
      </c>
      <c r="J486" s="53">
        <f t="shared" si="29"/>
        <v>7.024390243902439</v>
      </c>
      <c r="K486" s="19">
        <v>45901</v>
      </c>
      <c r="L486" s="19">
        <v>45912</v>
      </c>
      <c r="M486" s="26">
        <f t="shared" si="30"/>
        <v>12</v>
      </c>
      <c r="N486" s="69">
        <f>IFERROR(INDEX(Tabela3[ID_Responsavel], MATCH(O486,Tabela3[[Responsáveis ]], 0)), "Não encontrado")</f>
        <v>25</v>
      </c>
      <c r="O486" s="132" t="s">
        <v>18</v>
      </c>
      <c r="P486" s="132" t="s">
        <v>19</v>
      </c>
      <c r="Q486" s="126"/>
    </row>
    <row r="487" spans="1:17" ht="15" hidden="1" customHeight="1">
      <c r="A487" s="122">
        <f>IFERROR(INDEX(Tabela2[ID_Area], MATCH(B487,Tabela2[Area], 0)), "Não encontrado")</f>
        <v>1004</v>
      </c>
      <c r="B487" s="116" t="s">
        <v>15</v>
      </c>
      <c r="C487" s="16" t="s">
        <v>16</v>
      </c>
      <c r="D487" s="24">
        <f>IFERROR(INDEX(Metas!$D$2:$D$104, MATCH(E487,Metas!$E$2:$E$104, 0)), "Não encontrado")</f>
        <v>104</v>
      </c>
      <c r="E487" s="16" t="s">
        <v>28</v>
      </c>
      <c r="F487" s="16" t="s">
        <v>644</v>
      </c>
      <c r="G487" s="62" t="str">
        <f t="shared" ca="1" si="31"/>
        <v>Concluído</v>
      </c>
      <c r="H487" s="157">
        <v>45923</v>
      </c>
      <c r="I487" s="135">
        <v>1</v>
      </c>
      <c r="J487" s="53">
        <f t="shared" si="29"/>
        <v>5.8536585365853657</v>
      </c>
      <c r="K487" s="19">
        <v>45915</v>
      </c>
      <c r="L487" s="19">
        <v>45924</v>
      </c>
      <c r="M487" s="26">
        <f t="shared" si="30"/>
        <v>10</v>
      </c>
      <c r="N487" s="69">
        <f>IFERROR(INDEX(Tabela3[ID_Responsavel], MATCH(O487,Tabela3[[Responsáveis ]], 0)), "Não encontrado")</f>
        <v>25</v>
      </c>
      <c r="O487" s="132" t="s">
        <v>18</v>
      </c>
      <c r="P487" s="132" t="s">
        <v>19</v>
      </c>
      <c r="Q487" s="126"/>
    </row>
    <row r="488" spans="1:17" ht="15" hidden="1" customHeight="1">
      <c r="A488" s="122">
        <f>IFERROR(INDEX(Tabela2[ID_Area], MATCH(B488,Tabela2[Area], 0)), "Não encontrado")</f>
        <v>1004</v>
      </c>
      <c r="B488" s="116" t="s">
        <v>15</v>
      </c>
      <c r="C488" s="16" t="s">
        <v>16</v>
      </c>
      <c r="D488" s="24">
        <f>IFERROR(INDEX(Metas!$D$2:$D$104, MATCH(E488,Metas!$E$2:$E$104, 0)), "Não encontrado")</f>
        <v>104</v>
      </c>
      <c r="E488" s="16" t="s">
        <v>28</v>
      </c>
      <c r="F488" s="16" t="s">
        <v>645</v>
      </c>
      <c r="G488" s="62" t="str">
        <f t="shared" ca="1" si="31"/>
        <v>Concluído</v>
      </c>
      <c r="H488" s="157">
        <v>45923</v>
      </c>
      <c r="I488" s="135">
        <v>1</v>
      </c>
      <c r="J488" s="53">
        <f t="shared" si="29"/>
        <v>8.7804878048780477</v>
      </c>
      <c r="K488" s="19">
        <v>45925</v>
      </c>
      <c r="L488" s="19">
        <v>45939</v>
      </c>
      <c r="M488" s="26">
        <f t="shared" si="30"/>
        <v>15</v>
      </c>
      <c r="N488" s="69">
        <f>IFERROR(INDEX(Tabela3[ID_Responsavel], MATCH(O488,Tabela3[[Responsáveis ]], 0)), "Não encontrado")</f>
        <v>25</v>
      </c>
      <c r="O488" s="132" t="s">
        <v>18</v>
      </c>
      <c r="P488" s="132" t="s">
        <v>19</v>
      </c>
      <c r="Q488" s="126"/>
    </row>
    <row r="489" spans="1:17" ht="15" hidden="1" customHeight="1">
      <c r="A489" s="122">
        <f>IFERROR(INDEX(Tabela2[ID_Area], MATCH(B489,Tabela2[Area], 0)), "Não encontrado")</f>
        <v>1004</v>
      </c>
      <c r="B489" s="116" t="s">
        <v>15</v>
      </c>
      <c r="C489" s="16" t="s">
        <v>16</v>
      </c>
      <c r="D489" s="24">
        <f>IFERROR(INDEX(Metas!$D$2:$D$104, MATCH(E489,Metas!$E$2:$E$104, 0)), "Não encontrado")</f>
        <v>104</v>
      </c>
      <c r="E489" s="16" t="s">
        <v>28</v>
      </c>
      <c r="F489" s="16" t="s">
        <v>646</v>
      </c>
      <c r="G489" s="62" t="str">
        <f t="shared" ca="1" si="31"/>
        <v>Concluído</v>
      </c>
      <c r="H489" s="157">
        <v>45988</v>
      </c>
      <c r="I489" s="135">
        <v>1</v>
      </c>
      <c r="J489" s="53">
        <f t="shared" si="29"/>
        <v>18.73170731707317</v>
      </c>
      <c r="K489" s="19">
        <v>45940</v>
      </c>
      <c r="L489" s="19">
        <v>45971</v>
      </c>
      <c r="M489" s="26">
        <f t="shared" si="30"/>
        <v>32</v>
      </c>
      <c r="N489" s="69">
        <f>IFERROR(INDEX(Tabela3[ID_Responsavel], MATCH(O489,Tabela3[[Responsáveis ]], 0)), "Não encontrado")</f>
        <v>25</v>
      </c>
      <c r="O489" s="132" t="s">
        <v>18</v>
      </c>
      <c r="P489" s="132" t="s">
        <v>19</v>
      </c>
      <c r="Q489" s="126"/>
    </row>
    <row r="490" spans="1:17" ht="15" hidden="1" customHeight="1">
      <c r="A490" s="122">
        <f>IFERROR(INDEX(Tabela2[ID_Area], MATCH(B490,Tabela2[Area], 0)), "Não encontrado")</f>
        <v>1004</v>
      </c>
      <c r="B490" s="116" t="s">
        <v>15</v>
      </c>
      <c r="C490" s="16" t="s">
        <v>16</v>
      </c>
      <c r="D490" s="24">
        <f>IFERROR(INDEX(Metas!$D$2:$D$104, MATCH(E490,Metas!$E$2:$E$104, 0)), "Não encontrado")</f>
        <v>104</v>
      </c>
      <c r="E490" s="16" t="s">
        <v>28</v>
      </c>
      <c r="F490" s="16" t="s">
        <v>647</v>
      </c>
      <c r="G490" s="62" t="str">
        <f t="shared" ca="1" si="31"/>
        <v>Concluído</v>
      </c>
      <c r="H490" s="157">
        <v>45988</v>
      </c>
      <c r="I490" s="135">
        <v>1</v>
      </c>
      <c r="J490" s="53">
        <f t="shared" si="29"/>
        <v>18.73170731707317</v>
      </c>
      <c r="K490" s="19">
        <v>45940</v>
      </c>
      <c r="L490" s="19">
        <v>45971</v>
      </c>
      <c r="M490" s="26">
        <f t="shared" si="30"/>
        <v>32</v>
      </c>
      <c r="N490" s="69">
        <f>IFERROR(INDEX(Tabela3[ID_Responsavel], MATCH(O490,Tabela3[[Responsáveis ]], 0)), "Não encontrado")</f>
        <v>25</v>
      </c>
      <c r="O490" s="132" t="s">
        <v>18</v>
      </c>
      <c r="P490" s="132" t="s">
        <v>19</v>
      </c>
      <c r="Q490" s="126"/>
    </row>
    <row r="491" spans="1:17" ht="15" hidden="1" customHeight="1">
      <c r="A491" s="122">
        <f>IFERROR(INDEX(Tabela2[ID_Area], MATCH(B491,Tabela2[Area], 0)), "Não encontrado")</f>
        <v>1004</v>
      </c>
      <c r="B491" s="116" t="s">
        <v>15</v>
      </c>
      <c r="C491" s="16" t="s">
        <v>16</v>
      </c>
      <c r="D491" s="24">
        <f>IFERROR(INDEX(Metas!$D$2:$D$104, MATCH(E491,Metas!$E$2:$E$104, 0)), "Não encontrado")</f>
        <v>104</v>
      </c>
      <c r="E491" s="16" t="s">
        <v>28</v>
      </c>
      <c r="F491" s="16" t="s">
        <v>648</v>
      </c>
      <c r="G491" s="62" t="str">
        <f t="shared" ca="1" si="31"/>
        <v>Concluído</v>
      </c>
      <c r="H491" s="157">
        <v>46001</v>
      </c>
      <c r="I491" s="135">
        <v>1</v>
      </c>
      <c r="J491" s="53">
        <f t="shared" si="29"/>
        <v>18.73170731707317</v>
      </c>
      <c r="K491" s="19">
        <v>45940</v>
      </c>
      <c r="L491" s="19">
        <v>45971</v>
      </c>
      <c r="M491" s="26">
        <f t="shared" si="30"/>
        <v>32</v>
      </c>
      <c r="N491" s="69">
        <f>IFERROR(INDEX(Tabela3[ID_Responsavel], MATCH(O491,Tabela3[[Responsáveis ]], 0)), "Não encontrado")</f>
        <v>25</v>
      </c>
      <c r="O491" s="132" t="s">
        <v>18</v>
      </c>
      <c r="P491" s="132" t="s">
        <v>19</v>
      </c>
      <c r="Q491" s="126"/>
    </row>
    <row r="492" spans="1:17" ht="15" hidden="1" customHeight="1">
      <c r="A492" s="122">
        <f>IFERROR(INDEX(Tabela2[ID_Area], MATCH(B492,Tabela2[Area], 0)), "Não encontrado")</f>
        <v>1004</v>
      </c>
      <c r="B492" s="116" t="s">
        <v>15</v>
      </c>
      <c r="C492" s="16" t="s">
        <v>16</v>
      </c>
      <c r="D492" s="24">
        <f>IFERROR(INDEX(Metas!$D$2:$D$104, MATCH(E492,Metas!$E$2:$E$104, 0)), "Não encontrado")</f>
        <v>104</v>
      </c>
      <c r="E492" s="16" t="s">
        <v>28</v>
      </c>
      <c r="F492" s="16" t="s">
        <v>649</v>
      </c>
      <c r="G492" s="62" t="str">
        <f t="shared" ca="1" si="31"/>
        <v>Concluído</v>
      </c>
      <c r="H492" s="157">
        <v>46008</v>
      </c>
      <c r="I492" s="135">
        <v>1</v>
      </c>
      <c r="J492" s="53">
        <f t="shared" si="29"/>
        <v>21.073170731707314</v>
      </c>
      <c r="K492" s="19">
        <v>45971</v>
      </c>
      <c r="L492" s="19">
        <v>46006</v>
      </c>
      <c r="M492" s="26">
        <f t="shared" si="30"/>
        <v>36</v>
      </c>
      <c r="N492" s="69">
        <f>IFERROR(INDEX(Tabela3[ID_Responsavel], MATCH(O492,Tabela3[[Responsáveis ]], 0)), "Não encontrado")</f>
        <v>25</v>
      </c>
      <c r="O492" s="132" t="s">
        <v>18</v>
      </c>
      <c r="P492" s="132" t="s">
        <v>19</v>
      </c>
      <c r="Q492" s="126"/>
    </row>
    <row r="493" spans="1:17" ht="15" hidden="1" customHeight="1">
      <c r="A493" s="122">
        <f>IFERROR(INDEX(Tabela2[ID_Area], MATCH(B493,Tabela2[Area], 0)), "Não encontrado")</f>
        <v>1004</v>
      </c>
      <c r="B493" s="116" t="s">
        <v>15</v>
      </c>
      <c r="C493" s="16" t="s">
        <v>16</v>
      </c>
      <c r="D493" s="24">
        <f>IFERROR(INDEX(Metas!$D$2:$D$104, MATCH(E493,Metas!$E$2:$E$104, 0)), "Não encontrado")</f>
        <v>104</v>
      </c>
      <c r="E493" s="16" t="s">
        <v>28</v>
      </c>
      <c r="F493" s="16" t="s">
        <v>650</v>
      </c>
      <c r="G493" s="62" t="str">
        <f t="shared" ca="1" si="31"/>
        <v>Concluído</v>
      </c>
      <c r="H493" s="157">
        <v>46009</v>
      </c>
      <c r="I493" s="135">
        <v>1</v>
      </c>
      <c r="J493" s="53">
        <f t="shared" si="29"/>
        <v>21.073170731707314</v>
      </c>
      <c r="K493" s="19">
        <v>45971</v>
      </c>
      <c r="L493" s="19">
        <v>46006</v>
      </c>
      <c r="M493" s="26">
        <f t="shared" si="30"/>
        <v>36</v>
      </c>
      <c r="N493" s="69">
        <f>IFERROR(INDEX(Tabela3[ID_Responsavel], MATCH(O493,Tabela3[[Responsáveis ]], 0)), "Não encontrado")</f>
        <v>25</v>
      </c>
      <c r="O493" s="132" t="s">
        <v>18</v>
      </c>
      <c r="P493" s="132" t="s">
        <v>19</v>
      </c>
      <c r="Q493" s="126"/>
    </row>
    <row r="494" spans="1:17" ht="15" hidden="1" customHeight="1">
      <c r="A494" s="122">
        <f>IFERROR(INDEX(Tabela2[ID_Area], MATCH(B494,Tabela2[Area], 0)), "Não encontrado")</f>
        <v>1004</v>
      </c>
      <c r="B494" s="116" t="s">
        <v>15</v>
      </c>
      <c r="C494" s="16" t="s">
        <v>24</v>
      </c>
      <c r="D494" s="24">
        <f>IFERROR(INDEX(Metas!$D$2:$D$104, MATCH(E494,Metas!$E$2:$E$104, 0)), "Não encontrado")</f>
        <v>102</v>
      </c>
      <c r="E494" s="16" t="s">
        <v>25</v>
      </c>
      <c r="F494" s="16" t="s">
        <v>736</v>
      </c>
      <c r="G494" s="62" t="str">
        <f t="shared" ca="1" si="31"/>
        <v>Concluído</v>
      </c>
      <c r="H494" s="157">
        <v>46021</v>
      </c>
      <c r="I494" s="133">
        <v>1</v>
      </c>
      <c r="J494" s="53">
        <f t="shared" si="29"/>
        <v>21.740674955595026</v>
      </c>
      <c r="K494" s="19">
        <v>45912</v>
      </c>
      <c r="L494" s="19">
        <v>46013</v>
      </c>
      <c r="M494" s="26">
        <f t="shared" si="30"/>
        <v>102</v>
      </c>
      <c r="N494" s="69">
        <f>IFERROR(INDEX(Tabela3[ID_Responsavel], MATCH(O494,Tabela3[[Responsáveis ]], 0)), "Não encontrado")</f>
        <v>25</v>
      </c>
      <c r="O494" s="132" t="s">
        <v>18</v>
      </c>
      <c r="P494" s="132" t="s">
        <v>19</v>
      </c>
      <c r="Q494" s="126"/>
    </row>
    <row r="495" spans="1:17" ht="15" hidden="1" customHeight="1">
      <c r="A495" s="122">
        <f>IFERROR(INDEX(Tabela2[ID_Area], MATCH(B495,Tabela2[Area], 0)), "Não encontrado")</f>
        <v>1004</v>
      </c>
      <c r="B495" s="116" t="s">
        <v>15</v>
      </c>
      <c r="C495" s="16" t="s">
        <v>24</v>
      </c>
      <c r="D495" s="24">
        <f>IFERROR(INDEX(Metas!$D$2:$D$104, MATCH(E495,Metas!$E$2:$E$104, 0)), "Não encontrado")</f>
        <v>102</v>
      </c>
      <c r="E495" s="16" t="s">
        <v>25</v>
      </c>
      <c r="F495" s="16" t="s">
        <v>29</v>
      </c>
      <c r="G495" s="62" t="str">
        <f t="shared" ca="1" si="31"/>
        <v>Concluído</v>
      </c>
      <c r="H495" s="157">
        <v>45750</v>
      </c>
      <c r="I495" s="133">
        <v>1</v>
      </c>
      <c r="J495" s="53">
        <f t="shared" si="29"/>
        <v>51.793960923623445</v>
      </c>
      <c r="K495" s="19">
        <v>45659</v>
      </c>
      <c r="L495" s="19">
        <v>45901</v>
      </c>
      <c r="M495" s="26">
        <f t="shared" si="30"/>
        <v>243</v>
      </c>
      <c r="N495" s="69">
        <f>IFERROR(INDEX(Tabela3[ID_Responsavel], MATCH(O495,Tabela3[[Responsáveis ]], 0)), "Não encontrado")</f>
        <v>25</v>
      </c>
      <c r="O495" s="132" t="s">
        <v>18</v>
      </c>
      <c r="P495" s="132" t="s">
        <v>19</v>
      </c>
      <c r="Q495" s="126"/>
    </row>
    <row r="496" spans="1:17" ht="15" hidden="1" customHeight="1">
      <c r="A496" s="122">
        <f>IFERROR(INDEX(Tabela2[ID_Area], MATCH(B496,Tabela2[Area], 0)), "Não encontrado")</f>
        <v>1004</v>
      </c>
      <c r="B496" s="116" t="s">
        <v>15</v>
      </c>
      <c r="C496" s="16" t="s">
        <v>24</v>
      </c>
      <c r="D496" s="24">
        <f>IFERROR(INDEX(Metas!$D$2:$D$104, MATCH(E496,Metas!$E$2:$E$104, 0)), "Não encontrado")</f>
        <v>102</v>
      </c>
      <c r="E496" s="16" t="s">
        <v>25</v>
      </c>
      <c r="F496" s="16" t="s">
        <v>46</v>
      </c>
      <c r="G496" s="62" t="str">
        <f t="shared" ca="1" si="31"/>
        <v>Atrasado</v>
      </c>
      <c r="H496" s="29"/>
      <c r="I496" s="133">
        <v>0.1744</v>
      </c>
      <c r="J496" s="53">
        <f t="shared" si="29"/>
        <v>17.690941385435167</v>
      </c>
      <c r="K496" s="19">
        <v>45931</v>
      </c>
      <c r="L496" s="19">
        <v>46013</v>
      </c>
      <c r="M496" s="26">
        <f t="shared" si="30"/>
        <v>83</v>
      </c>
      <c r="N496" s="69">
        <f>IFERROR(INDEX(Tabela3[ID_Responsavel], MATCH(O496,Tabela3[[Responsáveis ]], 0)), "Não encontrado")</f>
        <v>25</v>
      </c>
      <c r="O496" s="132" t="s">
        <v>18</v>
      </c>
      <c r="P496" s="132" t="s">
        <v>19</v>
      </c>
      <c r="Q496" s="126" t="s">
        <v>737</v>
      </c>
    </row>
    <row r="497" spans="1:17" ht="15" hidden="1" customHeight="1">
      <c r="A497" s="122">
        <f>IFERROR(INDEX(Tabela2[ID_Area], MATCH(B497,Tabela2[Area], 0)), "Não encontrado")</f>
        <v>1004</v>
      </c>
      <c r="B497" s="116" t="s">
        <v>15</v>
      </c>
      <c r="C497" s="16" t="s">
        <v>24</v>
      </c>
      <c r="D497" s="24">
        <f>IFERROR(INDEX(Metas!$D$2:$D$104, MATCH(E497,Metas!$E$2:$E$104, 0)), "Não encontrado")</f>
        <v>102</v>
      </c>
      <c r="E497" s="16" t="s">
        <v>25</v>
      </c>
      <c r="F497" s="16" t="s">
        <v>730</v>
      </c>
      <c r="G497" s="62" t="str">
        <f t="shared" ca="1" si="31"/>
        <v>Atrasado</v>
      </c>
      <c r="H497" s="29"/>
      <c r="I497" s="133">
        <v>0.52500000000000002</v>
      </c>
      <c r="J497" s="53">
        <f t="shared" si="29"/>
        <v>24.085257548845473</v>
      </c>
      <c r="K497" s="19">
        <v>45901</v>
      </c>
      <c r="L497" s="19">
        <v>46013</v>
      </c>
      <c r="M497" s="26">
        <f t="shared" si="30"/>
        <v>113</v>
      </c>
      <c r="N497" s="69">
        <f>IFERROR(INDEX(Tabela3[ID_Responsavel], MATCH(O497,Tabela3[[Responsáveis ]], 0)), "Não encontrado")</f>
        <v>25</v>
      </c>
      <c r="O497" s="132" t="s">
        <v>18</v>
      </c>
      <c r="P497" s="132" t="s">
        <v>19</v>
      </c>
      <c r="Q497" s="126" t="s">
        <v>737</v>
      </c>
    </row>
    <row r="498" spans="1:17" ht="15" hidden="1" customHeight="1">
      <c r="A498" s="122">
        <f>IFERROR(INDEX(Tabela2[ID_Area], MATCH(B498,Tabela2[Area], 0)), "Não encontrado")</f>
        <v>1004</v>
      </c>
      <c r="B498" s="116" t="s">
        <v>15</v>
      </c>
      <c r="C498" s="16" t="s">
        <v>24</v>
      </c>
      <c r="D498" s="24">
        <f>IFERROR(INDEX(Metas!$D$2:$D$104, MATCH(E498,Metas!$E$2:$E$104, 0)), "Não encontrado")</f>
        <v>102</v>
      </c>
      <c r="E498" s="16" t="s">
        <v>25</v>
      </c>
      <c r="F498" s="16" t="s">
        <v>738</v>
      </c>
      <c r="G498" s="62" t="str">
        <f t="shared" ca="1" si="31"/>
        <v>Concluído</v>
      </c>
      <c r="H498" s="157">
        <v>46010</v>
      </c>
      <c r="I498" s="133">
        <v>1</v>
      </c>
      <c r="J498" s="53">
        <f t="shared" si="29"/>
        <v>4.6891651865008885</v>
      </c>
      <c r="K498" s="19">
        <v>45992</v>
      </c>
      <c r="L498" s="19">
        <v>46013</v>
      </c>
      <c r="M498" s="26">
        <f t="shared" si="30"/>
        <v>22</v>
      </c>
      <c r="N498" s="69">
        <f>IFERROR(INDEX(Tabela3[ID_Responsavel], MATCH(O498,Tabela3[[Responsáveis ]], 0)), "Não encontrado")</f>
        <v>25</v>
      </c>
      <c r="O498" s="132" t="s">
        <v>18</v>
      </c>
      <c r="P498" s="132" t="s">
        <v>19</v>
      </c>
      <c r="Q498" s="126" t="s">
        <v>739</v>
      </c>
    </row>
    <row r="499" spans="1:17" ht="15" hidden="1" customHeight="1">
      <c r="A499" s="122">
        <f>IFERROR(INDEX(Tabela2[ID_Area], MATCH(B499,Tabela2[Area], 0)), "Não encontrado")</f>
        <v>1004</v>
      </c>
      <c r="B499" s="116" t="s">
        <v>15</v>
      </c>
      <c r="C499" s="16" t="s">
        <v>33</v>
      </c>
      <c r="D499" s="24">
        <f>IFERROR(INDEX(Metas!$D$2:$D$104, MATCH(E499,Metas!$E$2:$E$104, 0)), "Não encontrado")</f>
        <v>100</v>
      </c>
      <c r="E499" s="16" t="s">
        <v>17</v>
      </c>
      <c r="F499" s="16" t="s">
        <v>740</v>
      </c>
      <c r="G499" s="62" t="str">
        <f t="shared" ca="1" si="31"/>
        <v>Concluído</v>
      </c>
      <c r="H499" s="157">
        <v>45891</v>
      </c>
      <c r="I499" s="133">
        <v>1</v>
      </c>
      <c r="J499" s="53">
        <f t="shared" si="29"/>
        <v>10.830473575840768</v>
      </c>
      <c r="K499" s="19">
        <v>45658</v>
      </c>
      <c r="L499" s="19">
        <v>45920</v>
      </c>
      <c r="M499" s="26">
        <f t="shared" si="30"/>
        <v>263</v>
      </c>
      <c r="N499" s="69">
        <f>IFERROR(INDEX(Tabela3[ID_Responsavel], MATCH(O499,Tabela3[[Responsáveis ]], 0)), "Não encontrado")</f>
        <v>25</v>
      </c>
      <c r="O499" s="132" t="s">
        <v>18</v>
      </c>
      <c r="P499" s="132" t="s">
        <v>19</v>
      </c>
      <c r="Q499" s="126" t="s">
        <v>741</v>
      </c>
    </row>
    <row r="500" spans="1:17" ht="15" hidden="1" customHeight="1">
      <c r="A500" s="122">
        <f>IFERROR(INDEX(Tabela2[ID_Area], MATCH(B500,Tabela2[Area], 0)), "Não encontrado")</f>
        <v>1004</v>
      </c>
      <c r="B500" s="116" t="s">
        <v>15</v>
      </c>
      <c r="C500" s="16" t="s">
        <v>33</v>
      </c>
      <c r="D500" s="24">
        <f>IFERROR(INDEX(Metas!$D$2:$D$104, MATCH(E500,Metas!$E$2:$E$104, 0)), "Não encontrado")</f>
        <v>100</v>
      </c>
      <c r="E500" s="16" t="s">
        <v>17</v>
      </c>
      <c r="F500" s="16" t="s">
        <v>742</v>
      </c>
      <c r="G500" s="62" t="str">
        <f t="shared" ca="1" si="31"/>
        <v>Concluído</v>
      </c>
      <c r="H500" s="157">
        <v>45923</v>
      </c>
      <c r="I500" s="133">
        <v>1</v>
      </c>
      <c r="J500" s="53">
        <f t="shared" si="29"/>
        <v>10.789293067947838</v>
      </c>
      <c r="K500" s="19">
        <v>45658</v>
      </c>
      <c r="L500" s="19">
        <v>45919</v>
      </c>
      <c r="M500" s="26">
        <f t="shared" si="30"/>
        <v>262</v>
      </c>
      <c r="N500" s="69">
        <f>IFERROR(INDEX(Tabela3[ID_Responsavel], MATCH(O500,Tabela3[[Responsáveis ]], 0)), "Não encontrado")</f>
        <v>25</v>
      </c>
      <c r="O500" s="132" t="s">
        <v>18</v>
      </c>
      <c r="P500" s="132" t="s">
        <v>19</v>
      </c>
      <c r="Q500" s="126" t="s">
        <v>743</v>
      </c>
    </row>
    <row r="501" spans="1:17" ht="15" hidden="1" customHeight="1">
      <c r="A501" s="122">
        <f>IFERROR(INDEX(Tabela2[ID_Area], MATCH(B501,Tabela2[Area], 0)), "Não encontrado")</f>
        <v>1004</v>
      </c>
      <c r="B501" s="116" t="s">
        <v>15</v>
      </c>
      <c r="C501" s="16" t="s">
        <v>33</v>
      </c>
      <c r="D501" s="24">
        <f>IFERROR(INDEX(Metas!$D$2:$D$104, MATCH(E501,Metas!$E$2:$E$104, 0)), "Não encontrado")</f>
        <v>100</v>
      </c>
      <c r="E501" s="16" t="s">
        <v>17</v>
      </c>
      <c r="F501" s="16" t="s">
        <v>744</v>
      </c>
      <c r="G501" s="62" t="str">
        <f t="shared" ca="1" si="31"/>
        <v>Concluído</v>
      </c>
      <c r="H501" s="157">
        <v>45993</v>
      </c>
      <c r="I501" s="133">
        <v>1</v>
      </c>
      <c r="J501" s="53">
        <f t="shared" si="29"/>
        <v>14.248455730954015</v>
      </c>
      <c r="K501" s="19">
        <v>45677</v>
      </c>
      <c r="L501" s="19">
        <v>46022</v>
      </c>
      <c r="M501" s="26">
        <f t="shared" si="30"/>
        <v>346</v>
      </c>
      <c r="N501" s="69">
        <f>IFERROR(INDEX(Tabela3[ID_Responsavel], MATCH(O501,Tabela3[[Responsáveis ]], 0)), "Não encontrado")</f>
        <v>25</v>
      </c>
      <c r="O501" s="132" t="s">
        <v>18</v>
      </c>
      <c r="P501" s="132" t="s">
        <v>19</v>
      </c>
      <c r="Q501" s="126" t="s">
        <v>745</v>
      </c>
    </row>
    <row r="502" spans="1:17" ht="15" hidden="1" customHeight="1">
      <c r="A502" s="122">
        <f>IFERROR(INDEX(Tabela2[ID_Area], MATCH(B502,Tabela2[Area], 0)), "Não encontrado")</f>
        <v>1004</v>
      </c>
      <c r="B502" s="116" t="s">
        <v>15</v>
      </c>
      <c r="C502" s="16" t="s">
        <v>33</v>
      </c>
      <c r="D502" s="24">
        <f>IFERROR(INDEX(Metas!$D$2:$D$104, MATCH(E502,Metas!$E$2:$E$104, 0)), "Não encontrado")</f>
        <v>100</v>
      </c>
      <c r="E502" s="16" t="s">
        <v>17</v>
      </c>
      <c r="F502" s="16" t="s">
        <v>746</v>
      </c>
      <c r="G502" s="62" t="str">
        <f t="shared" ca="1" si="31"/>
        <v>Concluído</v>
      </c>
      <c r="H502" s="157">
        <v>46010</v>
      </c>
      <c r="I502" s="133">
        <v>1</v>
      </c>
      <c r="J502" s="53">
        <f t="shared" si="29"/>
        <v>13.177762525737817</v>
      </c>
      <c r="K502" s="19">
        <v>45703</v>
      </c>
      <c r="L502" s="19">
        <v>46022</v>
      </c>
      <c r="M502" s="26">
        <f t="shared" si="30"/>
        <v>320</v>
      </c>
      <c r="N502" s="69">
        <f>IFERROR(INDEX(Tabela3[ID_Responsavel], MATCH(O502,Tabela3[[Responsáveis ]], 0)), "Não encontrado")</f>
        <v>25</v>
      </c>
      <c r="O502" s="132" t="s">
        <v>18</v>
      </c>
      <c r="P502" s="132" t="s">
        <v>19</v>
      </c>
      <c r="Q502" s="126" t="s">
        <v>747</v>
      </c>
    </row>
    <row r="503" spans="1:17" ht="15" hidden="1" customHeight="1">
      <c r="A503" s="122">
        <f>IFERROR(INDEX(Tabela2[ID_Area], MATCH(B503,Tabela2[Area], 0)), "Não encontrado")</f>
        <v>1004</v>
      </c>
      <c r="B503" s="116" t="s">
        <v>15</v>
      </c>
      <c r="C503" s="16" t="s">
        <v>33</v>
      </c>
      <c r="D503" s="24">
        <f>IFERROR(INDEX(Metas!$D$2:$D$104, MATCH(E503,Metas!$E$2:$E$104, 0)), "Não encontrado")</f>
        <v>100</v>
      </c>
      <c r="E503" s="16" t="s">
        <v>17</v>
      </c>
      <c r="F503" s="16" t="s">
        <v>748</v>
      </c>
      <c r="G503" s="62" t="str">
        <f t="shared" ref="G503:G515" ca="1" si="32">IF(I503=0,"Não iniciado",IF(I503=1,"Concluído",IF(TODAY()&gt;L503,"Atrasado","Em Andamento")))</f>
        <v>Concluído</v>
      </c>
      <c r="H503" s="157">
        <v>46010</v>
      </c>
      <c r="I503" s="133">
        <v>1</v>
      </c>
      <c r="J503" s="53">
        <f t="shared" si="29"/>
        <v>12.024708304735759</v>
      </c>
      <c r="K503" s="19">
        <v>45731</v>
      </c>
      <c r="L503" s="19">
        <v>46022</v>
      </c>
      <c r="M503" s="26">
        <f t="shared" si="30"/>
        <v>292</v>
      </c>
      <c r="N503" s="69">
        <f>IFERROR(INDEX(Tabela3[ID_Responsavel], MATCH(O503,Tabela3[[Responsáveis ]], 0)), "Não encontrado")</f>
        <v>25</v>
      </c>
      <c r="O503" s="132" t="s">
        <v>18</v>
      </c>
      <c r="P503" s="132" t="s">
        <v>19</v>
      </c>
      <c r="Q503" s="126" t="s">
        <v>749</v>
      </c>
    </row>
    <row r="504" spans="1:17" ht="15" hidden="1" customHeight="1">
      <c r="A504" s="122">
        <f>IFERROR(INDEX(Tabela2[ID_Area], MATCH(B504,Tabela2[Area], 0)), "Não encontrado")</f>
        <v>1004</v>
      </c>
      <c r="B504" s="116" t="s">
        <v>15</v>
      </c>
      <c r="C504" s="16" t="s">
        <v>33</v>
      </c>
      <c r="D504" s="24">
        <f>IFERROR(INDEX(Metas!$D$2:$D$104, MATCH(E504,Metas!$E$2:$E$104, 0)), "Não encontrado")</f>
        <v>100</v>
      </c>
      <c r="E504" s="16" t="s">
        <v>17</v>
      </c>
      <c r="F504" s="16" t="s">
        <v>750</v>
      </c>
      <c r="G504" s="62" t="str">
        <f t="shared" ca="1" si="32"/>
        <v>Concluído</v>
      </c>
      <c r="H504" s="157">
        <v>45888</v>
      </c>
      <c r="I504" s="133">
        <v>1</v>
      </c>
      <c r="J504" s="53">
        <f t="shared" si="29"/>
        <v>0.61770761839396016</v>
      </c>
      <c r="K504" s="19">
        <v>45658</v>
      </c>
      <c r="L504" s="19">
        <v>45672</v>
      </c>
      <c r="M504" s="26">
        <f t="shared" si="30"/>
        <v>15</v>
      </c>
      <c r="N504" s="69">
        <f>IFERROR(INDEX(Tabela3[ID_Responsavel], MATCH(O504,Tabela3[[Responsáveis ]], 0)), "Não encontrado")</f>
        <v>25</v>
      </c>
      <c r="O504" s="132" t="s">
        <v>18</v>
      </c>
      <c r="P504" s="132" t="s">
        <v>19</v>
      </c>
      <c r="Q504" s="126" t="s">
        <v>751</v>
      </c>
    </row>
    <row r="505" spans="1:17" ht="15" hidden="1" customHeight="1">
      <c r="A505" s="122">
        <f>IFERROR(INDEX(Tabela2[ID_Area], MATCH(B505,Tabela2[Area], 0)), "Não encontrado")</f>
        <v>1004</v>
      </c>
      <c r="B505" s="116" t="s">
        <v>15</v>
      </c>
      <c r="C505" s="16" t="s">
        <v>33</v>
      </c>
      <c r="D505" s="24">
        <f>IFERROR(INDEX(Metas!$D$2:$D$104, MATCH(E505,Metas!$E$2:$E$104, 0)), "Não encontrado")</f>
        <v>100</v>
      </c>
      <c r="E505" s="16" t="s">
        <v>17</v>
      </c>
      <c r="F505" s="16" t="s">
        <v>752</v>
      </c>
      <c r="G505" s="62" t="str">
        <f t="shared" ca="1" si="32"/>
        <v>Concluído</v>
      </c>
      <c r="H505" s="157">
        <v>46010</v>
      </c>
      <c r="I505" s="133">
        <v>1</v>
      </c>
      <c r="J505" s="53">
        <f t="shared" si="29"/>
        <v>15.030885380919699</v>
      </c>
      <c r="K505" s="19">
        <v>45658</v>
      </c>
      <c r="L505" s="19">
        <v>46022</v>
      </c>
      <c r="M505" s="26">
        <f t="shared" si="30"/>
        <v>365</v>
      </c>
      <c r="N505" s="69">
        <f>IFERROR(INDEX(Tabela3[ID_Responsavel], MATCH(O505,Tabela3[[Responsáveis ]], 0)), "Não encontrado")</f>
        <v>25</v>
      </c>
      <c r="O505" s="132" t="s">
        <v>18</v>
      </c>
      <c r="P505" s="132" t="s">
        <v>19</v>
      </c>
      <c r="Q505" s="126"/>
    </row>
    <row r="506" spans="1:17" ht="15" hidden="1" customHeight="1">
      <c r="A506" s="122">
        <f>IFERROR(INDEX(Tabela2[ID_Area], MATCH(B506,Tabela2[Area], 0)), "Não encontrado")</f>
        <v>1004</v>
      </c>
      <c r="B506" s="116" t="s">
        <v>15</v>
      </c>
      <c r="C506" s="16" t="s">
        <v>33</v>
      </c>
      <c r="D506" s="24">
        <f>IFERROR(INDEX(Metas!$D$2:$D$104, MATCH(E506,Metas!$E$2:$E$104, 0)), "Não encontrado")</f>
        <v>100</v>
      </c>
      <c r="E506" s="16" t="s">
        <v>17</v>
      </c>
      <c r="F506" s="16" t="s">
        <v>753</v>
      </c>
      <c r="G506" s="62" t="str">
        <f t="shared" ca="1" si="32"/>
        <v>Concluído</v>
      </c>
      <c r="H506" s="157">
        <v>46010</v>
      </c>
      <c r="I506" s="133">
        <v>1</v>
      </c>
      <c r="J506" s="53">
        <f t="shared" si="29"/>
        <v>12.601235415236788</v>
      </c>
      <c r="K506" s="19">
        <v>45717</v>
      </c>
      <c r="L506" s="19">
        <v>46022</v>
      </c>
      <c r="M506" s="26">
        <f t="shared" si="30"/>
        <v>306</v>
      </c>
      <c r="N506" s="69">
        <f>IFERROR(INDEX(Tabela3[ID_Responsavel], MATCH(O506,Tabela3[[Responsáveis ]], 0)), "Não encontrado")</f>
        <v>25</v>
      </c>
      <c r="O506" s="132" t="s">
        <v>18</v>
      </c>
      <c r="P506" s="132" t="s">
        <v>19</v>
      </c>
      <c r="Q506" s="126" t="s">
        <v>754</v>
      </c>
    </row>
    <row r="507" spans="1:17" ht="15" hidden="1" customHeight="1">
      <c r="A507" s="122">
        <f>IFERROR(INDEX(Tabela2[ID_Area], MATCH(B507,Tabela2[Area], 0)), "Não encontrado")</f>
        <v>1004</v>
      </c>
      <c r="B507" s="116" t="s">
        <v>15</v>
      </c>
      <c r="C507" s="16" t="s">
        <v>33</v>
      </c>
      <c r="D507" s="24">
        <f>IFERROR(INDEX(Metas!$D$2:$D$104, MATCH(E507,Metas!$E$2:$E$104, 0)), "Não encontrado")</f>
        <v>100</v>
      </c>
      <c r="E507" s="16" t="s">
        <v>17</v>
      </c>
      <c r="F507" s="16" t="s">
        <v>755</v>
      </c>
      <c r="G507" s="62" t="str">
        <f t="shared" ca="1" si="32"/>
        <v>Concluído</v>
      </c>
      <c r="H507" s="157">
        <v>45918</v>
      </c>
      <c r="I507" s="133">
        <v>1</v>
      </c>
      <c r="J507" s="53">
        <f t="shared" si="29"/>
        <v>4.4063143445435831</v>
      </c>
      <c r="K507" s="19">
        <v>45915</v>
      </c>
      <c r="L507" s="19">
        <v>46021</v>
      </c>
      <c r="M507" s="26">
        <f t="shared" si="30"/>
        <v>107</v>
      </c>
      <c r="N507" s="69">
        <f>IFERROR(INDEX(Tabela3[ID_Responsavel], MATCH(O507,Tabela3[[Responsáveis ]], 0)), "Não encontrado")</f>
        <v>25</v>
      </c>
      <c r="O507" s="132" t="s">
        <v>18</v>
      </c>
      <c r="P507" s="132" t="s">
        <v>19</v>
      </c>
      <c r="Q507" s="126" t="s">
        <v>756</v>
      </c>
    </row>
    <row r="508" spans="1:17" ht="15" hidden="1" customHeight="1">
      <c r="A508" s="122">
        <f>IFERROR(INDEX(Tabela2[ID_Area], MATCH(B508,Tabela2[Area], 0)), "Não encontrado")</f>
        <v>1004</v>
      </c>
      <c r="B508" s="116" t="s">
        <v>15</v>
      </c>
      <c r="C508" s="16" t="s">
        <v>33</v>
      </c>
      <c r="D508" s="24">
        <f>IFERROR(INDEX(Metas!$D$2:$D$104, MATCH(E508,Metas!$E$2:$E$104, 0)), "Não encontrado")</f>
        <v>100</v>
      </c>
      <c r="E508" s="16" t="s">
        <v>17</v>
      </c>
      <c r="F508" s="16" t="s">
        <v>757</v>
      </c>
      <c r="G508" s="62" t="str">
        <f t="shared" ca="1" si="32"/>
        <v>Concluído</v>
      </c>
      <c r="H508" s="157">
        <v>45861</v>
      </c>
      <c r="I508" s="133">
        <v>1</v>
      </c>
      <c r="J508" s="53">
        <f t="shared" si="29"/>
        <v>11.242278654770075</v>
      </c>
      <c r="K508" s="19">
        <v>45658</v>
      </c>
      <c r="L508" s="19">
        <v>45930</v>
      </c>
      <c r="M508" s="26">
        <f t="shared" si="30"/>
        <v>273</v>
      </c>
      <c r="N508" s="69">
        <f>IFERROR(INDEX(Tabela3[ID_Responsavel], MATCH(O508,Tabela3[[Responsáveis ]], 0)), "Não encontrado")</f>
        <v>25</v>
      </c>
      <c r="O508" s="132" t="s">
        <v>18</v>
      </c>
      <c r="P508" s="132" t="s">
        <v>19</v>
      </c>
      <c r="Q508" s="126" t="s">
        <v>758</v>
      </c>
    </row>
    <row r="509" spans="1:17" ht="15" hidden="1" customHeight="1">
      <c r="A509" s="122">
        <f>IFERROR(INDEX(Tabela2[ID_Area], MATCH(B509,Tabela2[Area], 0)), "Não encontrado")</f>
        <v>1004</v>
      </c>
      <c r="B509" s="116" t="s">
        <v>15</v>
      </c>
      <c r="C509" s="16" t="s">
        <v>33</v>
      </c>
      <c r="D509" s="24">
        <f>IFERROR(INDEX(Metas!$D$2:$D$104, MATCH(E509,Metas!$E$2:$E$104, 0)), "Não encontrado")</f>
        <v>100</v>
      </c>
      <c r="E509" s="16" t="s">
        <v>17</v>
      </c>
      <c r="F509" s="16" t="s">
        <v>759</v>
      </c>
      <c r="G509" s="62" t="str">
        <f t="shared" ca="1" si="32"/>
        <v>Concluído</v>
      </c>
      <c r="H509" s="157">
        <v>45861</v>
      </c>
      <c r="I509" s="133">
        <v>1</v>
      </c>
      <c r="J509" s="53">
        <f t="shared" si="29"/>
        <v>11.242278654770075</v>
      </c>
      <c r="K509" s="19">
        <v>45658</v>
      </c>
      <c r="L509" s="19">
        <v>45930</v>
      </c>
      <c r="M509" s="26">
        <f t="shared" si="30"/>
        <v>273</v>
      </c>
      <c r="N509" s="69">
        <f>IFERROR(INDEX(Tabela3[ID_Responsavel], MATCH(O509,Tabela3[[Responsáveis ]], 0)), "Não encontrado")</f>
        <v>25</v>
      </c>
      <c r="O509" s="132" t="s">
        <v>18</v>
      </c>
      <c r="P509" s="132" t="s">
        <v>19</v>
      </c>
      <c r="Q509" s="126" t="s">
        <v>758</v>
      </c>
    </row>
    <row r="510" spans="1:17" ht="15" hidden="1" customHeight="1">
      <c r="A510" s="122">
        <f>IFERROR(INDEX(Tabela2[ID_Area], MATCH(B510,Tabela2[Area], 0)), "Não encontrado")</f>
        <v>1004</v>
      </c>
      <c r="B510" s="116" t="s">
        <v>15</v>
      </c>
      <c r="C510" s="16" t="s">
        <v>33</v>
      </c>
      <c r="D510" s="24">
        <f>IFERROR(INDEX(Metas!$D$2:$D$104, MATCH(E510,Metas!$E$2:$E$104, 0)), "Não encontrado")</f>
        <v>100</v>
      </c>
      <c r="E510" s="16" t="s">
        <v>17</v>
      </c>
      <c r="F510" s="16" t="s">
        <v>760</v>
      </c>
      <c r="G510" s="62" t="str">
        <f t="shared" ca="1" si="32"/>
        <v>Não iniciado</v>
      </c>
      <c r="H510" s="29"/>
      <c r="I510" s="133"/>
      <c r="J510" s="53">
        <f t="shared" si="29"/>
        <v>3.7886067261496228</v>
      </c>
      <c r="K510" s="19">
        <v>45931</v>
      </c>
      <c r="L510" s="19">
        <v>46022</v>
      </c>
      <c r="M510" s="26">
        <f t="shared" si="30"/>
        <v>92</v>
      </c>
      <c r="N510" s="69">
        <f>IFERROR(INDEX(Tabela3[ID_Responsavel], MATCH(O510,Tabela3[[Responsáveis ]], 0)), "Não encontrado")</f>
        <v>25</v>
      </c>
      <c r="O510" s="132" t="s">
        <v>18</v>
      </c>
      <c r="P510" s="132" t="s">
        <v>19</v>
      </c>
      <c r="Q510" s="126" t="s">
        <v>761</v>
      </c>
    </row>
    <row r="511" spans="1:17" ht="15" hidden="1" customHeight="1">
      <c r="A511" s="122">
        <f>IFERROR(INDEX(Tabela2[ID_Area], MATCH(B511,Tabela2[Area], 0)), "Não encontrado")</f>
        <v>1004</v>
      </c>
      <c r="B511" s="116" t="s">
        <v>15</v>
      </c>
      <c r="C511" s="16" t="s">
        <v>33</v>
      </c>
      <c r="D511" s="24">
        <f>IFERROR(INDEX(Metas!$D$2:$D$104, MATCH(E511,Metas!$E$2:$E$104, 0)), "Não encontrado")</f>
        <v>101</v>
      </c>
      <c r="E511" s="17" t="s">
        <v>23</v>
      </c>
      <c r="F511" s="16" t="s">
        <v>716</v>
      </c>
      <c r="G511" s="62" t="str">
        <f t="shared" ca="1" si="32"/>
        <v>Concluído</v>
      </c>
      <c r="H511" s="29"/>
      <c r="I511" s="133">
        <v>1</v>
      </c>
      <c r="J511" s="53">
        <f t="shared" si="29"/>
        <v>52.68292682926829</v>
      </c>
      <c r="K511" s="19">
        <v>45659</v>
      </c>
      <c r="L511" s="19">
        <v>45838</v>
      </c>
      <c r="M511" s="26">
        <f t="shared" si="30"/>
        <v>180</v>
      </c>
      <c r="N511" s="69">
        <f>IFERROR(INDEX(Tabela3[ID_Responsavel], MATCH(O511,Tabela3[[Responsáveis ]], 0)), "Não encontrado")</f>
        <v>25</v>
      </c>
      <c r="O511" s="132" t="s">
        <v>18</v>
      </c>
      <c r="P511" s="132" t="s">
        <v>19</v>
      </c>
      <c r="Q511" s="126"/>
    </row>
    <row r="512" spans="1:17" ht="15" hidden="1" customHeight="1">
      <c r="A512" s="122">
        <f>IFERROR(INDEX(Tabela2[ID_Area], MATCH(B512,Tabela2[Area], 0)), "Não encontrado")</f>
        <v>1004</v>
      </c>
      <c r="B512" s="116" t="s">
        <v>15</v>
      </c>
      <c r="C512" s="16" t="s">
        <v>33</v>
      </c>
      <c r="D512" s="24">
        <f>IFERROR(INDEX(Metas!$D$2:$D$104, MATCH(E512,Metas!$E$2:$E$104, 0)), "Não encontrado")</f>
        <v>101</v>
      </c>
      <c r="E512" s="17" t="s">
        <v>23</v>
      </c>
      <c r="F512" s="16" t="s">
        <v>717</v>
      </c>
      <c r="G512" s="62" t="str">
        <f t="shared" ca="1" si="32"/>
        <v>Concluído</v>
      </c>
      <c r="H512" s="29"/>
      <c r="I512" s="133">
        <v>1</v>
      </c>
      <c r="J512" s="53">
        <f t="shared" si="29"/>
        <v>8.4878048780487791</v>
      </c>
      <c r="K512" s="19">
        <v>45659</v>
      </c>
      <c r="L512" s="19">
        <v>45687</v>
      </c>
      <c r="M512" s="26">
        <f t="shared" si="30"/>
        <v>29</v>
      </c>
      <c r="N512" s="69">
        <f>IFERROR(INDEX(Tabela3[ID_Responsavel], MATCH(O512,Tabela3[[Responsáveis ]], 0)), "Não encontrado")</f>
        <v>25</v>
      </c>
      <c r="O512" s="132" t="s">
        <v>18</v>
      </c>
      <c r="P512" s="132" t="s">
        <v>19</v>
      </c>
      <c r="Q512" s="126"/>
    </row>
    <row r="513" spans="1:17" ht="15" hidden="1" customHeight="1">
      <c r="A513" s="122">
        <f>IFERROR(INDEX(Tabela2[ID_Area], MATCH(B513,Tabela2[Area], 0)), "Não encontrado")</f>
        <v>1004</v>
      </c>
      <c r="B513" s="116" t="s">
        <v>15</v>
      </c>
      <c r="C513" s="16" t="s">
        <v>33</v>
      </c>
      <c r="D513" s="24">
        <f>IFERROR(INDEX(Metas!$D$2:$D$104, MATCH(E513,Metas!$E$2:$E$104, 0)), "Não encontrado")</f>
        <v>101</v>
      </c>
      <c r="E513" s="17" t="s">
        <v>23</v>
      </c>
      <c r="F513" s="16" t="s">
        <v>718</v>
      </c>
      <c r="G513" s="62" t="str">
        <f t="shared" ca="1" si="32"/>
        <v>Concluído</v>
      </c>
      <c r="H513" s="29"/>
      <c r="I513" s="133">
        <v>1</v>
      </c>
      <c r="J513" s="53">
        <f t="shared" si="29"/>
        <v>8.7804878048780477</v>
      </c>
      <c r="K513" s="19">
        <v>45809</v>
      </c>
      <c r="L513" s="19">
        <v>45838</v>
      </c>
      <c r="M513" s="26">
        <f t="shared" si="30"/>
        <v>30</v>
      </c>
      <c r="N513" s="69">
        <f>IFERROR(INDEX(Tabela3[ID_Responsavel], MATCH(O513,Tabela3[[Responsáveis ]], 0)), "Não encontrado")</f>
        <v>25</v>
      </c>
      <c r="O513" s="132" t="s">
        <v>18</v>
      </c>
      <c r="P513" s="132" t="s">
        <v>19</v>
      </c>
      <c r="Q513" s="126"/>
    </row>
    <row r="514" spans="1:17" ht="15" hidden="1" customHeight="1">
      <c r="A514" s="122">
        <f>IFERROR(INDEX(Tabela2[ID_Area], MATCH(B514,Tabela2[Area], 0)), "Não encontrado")</f>
        <v>1004</v>
      </c>
      <c r="B514" s="116" t="s">
        <v>15</v>
      </c>
      <c r="C514" s="23" t="s">
        <v>33</v>
      </c>
      <c r="D514" s="24">
        <f>IFERROR(INDEX(Metas!$D$2:$D$104, MATCH(E514,Metas!$E$2:$E$104, 0)), "Não encontrado")</f>
        <v>101</v>
      </c>
      <c r="E514" s="17" t="s">
        <v>23</v>
      </c>
      <c r="F514" s="23" t="s">
        <v>719</v>
      </c>
      <c r="G514" s="62" t="str">
        <f t="shared" ca="1" si="32"/>
        <v>Concluído</v>
      </c>
      <c r="H514" s="136"/>
      <c r="I514" s="137">
        <v>1</v>
      </c>
      <c r="J514" s="53">
        <f t="shared" ref="J514:J562" si="33">IFERROR( M514 / SUMIFS($M:$M, $E:$E, $E514, $O:$O, $O514) * 120, 0 )</f>
        <v>4.6829268292682924</v>
      </c>
      <c r="K514" s="25">
        <v>45853</v>
      </c>
      <c r="L514" s="25">
        <v>45868</v>
      </c>
      <c r="M514" s="26">
        <f t="shared" si="30"/>
        <v>16</v>
      </c>
      <c r="N514" s="69">
        <f>IFERROR(INDEX(Tabela3[ID_Responsavel], MATCH(O514,Tabela3[[Responsáveis ]], 0)), "Não encontrado")</f>
        <v>25</v>
      </c>
      <c r="O514" s="138" t="s">
        <v>18</v>
      </c>
      <c r="P514" s="138" t="s">
        <v>19</v>
      </c>
      <c r="Q514" s="127"/>
    </row>
    <row r="515" spans="1:17" ht="15" hidden="1" customHeight="1">
      <c r="A515" s="122">
        <f>IFERROR(INDEX(Tabela2[ID_Area], MATCH(B515,Tabela2[Area], 0)), "Não encontrado")</f>
        <v>1004</v>
      </c>
      <c r="B515" s="116" t="s">
        <v>15</v>
      </c>
      <c r="C515" s="23" t="s">
        <v>33</v>
      </c>
      <c r="D515" s="24">
        <f>IFERROR(INDEX(Metas!$D$2:$D$104, MATCH(E515,Metas!$E$2:$E$104, 0)), "Não encontrado")</f>
        <v>101</v>
      </c>
      <c r="E515" s="17" t="s">
        <v>23</v>
      </c>
      <c r="F515" s="23" t="s">
        <v>720</v>
      </c>
      <c r="G515" s="24" t="str">
        <f t="shared" ca="1" si="32"/>
        <v>Concluído</v>
      </c>
      <c r="H515" s="159">
        <v>45950</v>
      </c>
      <c r="I515" s="137">
        <v>1</v>
      </c>
      <c r="J515" s="53">
        <f t="shared" si="33"/>
        <v>45.365853658536587</v>
      </c>
      <c r="K515" s="25">
        <v>45868</v>
      </c>
      <c r="L515" s="25">
        <v>46022</v>
      </c>
      <c r="M515" s="26">
        <f t="shared" ref="M515" si="34" xml:space="preserve"> L515 - K515 + 1</f>
        <v>155</v>
      </c>
      <c r="N515" s="36">
        <f>IFERROR(INDEX(Tabela3[ID_Responsavel], MATCH(O515,Tabela3[[Responsáveis ]], 0)), "Não encontrado")</f>
        <v>25</v>
      </c>
      <c r="O515" s="138" t="s">
        <v>18</v>
      </c>
      <c r="P515" s="138" t="s">
        <v>19</v>
      </c>
      <c r="Q515" s="27" t="s">
        <v>762</v>
      </c>
    </row>
    <row r="516" spans="1:17" ht="15" hidden="1" customHeight="1">
      <c r="A516" s="122">
        <f>IFERROR(INDEX(Tabela2[ID_Area], MATCH(B516,Tabela2[Area], 0)), "Não encontrado")</f>
        <v>1004</v>
      </c>
      <c r="B516" s="116" t="s">
        <v>15</v>
      </c>
      <c r="C516" s="16" t="s">
        <v>39</v>
      </c>
      <c r="D516" s="24">
        <f>IFERROR(INDEX(Metas!$D$2:$D$104, MATCH(E516,Metas!$E$2:$E$104, 0)), "Não encontrado")</f>
        <v>111</v>
      </c>
      <c r="E516" s="16" t="s">
        <v>40</v>
      </c>
      <c r="F516" s="16" t="s">
        <v>763</v>
      </c>
      <c r="G516" s="62" t="str">
        <f t="shared" ref="G516:G579" ca="1" si="35">IF(I516=1,"Concluído",
   IF(TODAY()&gt;L516,"Atrasado",
      IF(AND(I516=0,TODAY()&lt;K516),"Não iniciado",
         "Em Andamento")))</f>
        <v>Concluído</v>
      </c>
      <c r="H516" s="158">
        <v>45717</v>
      </c>
      <c r="I516" s="30">
        <v>1</v>
      </c>
      <c r="J516" s="53">
        <f t="shared" si="33"/>
        <v>21.428571428571431</v>
      </c>
      <c r="K516" s="25">
        <v>45663</v>
      </c>
      <c r="L516" s="25">
        <v>45747</v>
      </c>
      <c r="M516" s="26">
        <f t="shared" ref="M516:M526" si="36" xml:space="preserve"> L516 - K516 + 1</f>
        <v>85</v>
      </c>
      <c r="N516" s="69">
        <f>IFERROR(INDEX(Tabela3[ID_Responsavel], MATCH(O516,Tabela3[[Responsáveis ]], 0)), "Não encontrado")</f>
        <v>20</v>
      </c>
      <c r="O516" s="120" t="s">
        <v>38</v>
      </c>
      <c r="P516" s="142" t="s">
        <v>19</v>
      </c>
      <c r="Q516" s="20"/>
    </row>
    <row r="517" spans="1:17" ht="15" hidden="1" customHeight="1">
      <c r="A517" s="122">
        <f>IFERROR(INDEX(Tabela2[ID_Area], MATCH(B517,Tabela2[Area], 0)), "Não encontrado")</f>
        <v>1004</v>
      </c>
      <c r="B517" s="116" t="s">
        <v>15</v>
      </c>
      <c r="C517" s="16" t="s">
        <v>39</v>
      </c>
      <c r="D517" s="24">
        <f>IFERROR(INDEX(Metas!$D$2:$D$104, MATCH(E517,Metas!$E$2:$E$104, 0)), "Não encontrado")</f>
        <v>111</v>
      </c>
      <c r="E517" s="16" t="s">
        <v>40</v>
      </c>
      <c r="F517" s="16" t="s">
        <v>764</v>
      </c>
      <c r="G517" s="62" t="str">
        <f t="shared" ca="1" si="35"/>
        <v>Atrasado</v>
      </c>
      <c r="H517" s="28"/>
      <c r="I517" s="30">
        <v>0.2</v>
      </c>
      <c r="J517" s="53">
        <f t="shared" si="33"/>
        <v>79.159663865546221</v>
      </c>
      <c r="K517" s="25">
        <v>45663</v>
      </c>
      <c r="L517" s="25">
        <v>45976</v>
      </c>
      <c r="M517" s="26">
        <f t="shared" si="36"/>
        <v>314</v>
      </c>
      <c r="N517" s="69">
        <f>IFERROR(INDEX(Tabela3[ID_Responsavel], MATCH(O517,Tabela3[[Responsáveis ]], 0)), "Não encontrado")</f>
        <v>20</v>
      </c>
      <c r="O517" s="120" t="s">
        <v>38</v>
      </c>
      <c r="P517" s="142" t="s">
        <v>19</v>
      </c>
      <c r="Q517" s="20"/>
    </row>
    <row r="518" spans="1:17" ht="15" hidden="1" customHeight="1">
      <c r="A518" s="122">
        <f>IFERROR(INDEX(Tabela2[ID_Area], MATCH(B518,Tabela2[Area], 0)), "Não encontrado")</f>
        <v>1004</v>
      </c>
      <c r="B518" s="116" t="s">
        <v>15</v>
      </c>
      <c r="C518" s="16" t="s">
        <v>39</v>
      </c>
      <c r="D518" s="24">
        <f>IFERROR(INDEX(Metas!$D$2:$D$104, MATCH(E518,Metas!$E$2:$E$104, 0)), "Não encontrado")</f>
        <v>111</v>
      </c>
      <c r="E518" s="16" t="s">
        <v>40</v>
      </c>
      <c r="F518" s="16" t="s">
        <v>765</v>
      </c>
      <c r="G518" s="62" t="str">
        <f t="shared" ca="1" si="35"/>
        <v>Atrasado</v>
      </c>
      <c r="H518" s="28"/>
      <c r="I518" s="30">
        <v>0</v>
      </c>
      <c r="J518" s="53">
        <f t="shared" si="33"/>
        <v>4.0336134453781511</v>
      </c>
      <c r="K518" s="25">
        <v>45976</v>
      </c>
      <c r="L518" s="25">
        <v>45991</v>
      </c>
      <c r="M518" s="26">
        <f t="shared" si="36"/>
        <v>16</v>
      </c>
      <c r="N518" s="69">
        <f>IFERROR(INDEX(Tabela3[ID_Responsavel], MATCH(O518,Tabela3[[Responsáveis ]], 0)), "Não encontrado")</f>
        <v>20</v>
      </c>
      <c r="O518" s="120" t="s">
        <v>38</v>
      </c>
      <c r="P518" s="142" t="s">
        <v>19</v>
      </c>
      <c r="Q518" s="20"/>
    </row>
    <row r="519" spans="1:17" ht="15" hidden="1" customHeight="1">
      <c r="A519" s="122">
        <f>IFERROR(INDEX(Tabela2[ID_Area], MATCH(B519,Tabela2[Area], 0)), "Não encontrado")</f>
        <v>1004</v>
      </c>
      <c r="B519" s="116" t="s">
        <v>15</v>
      </c>
      <c r="C519" s="16" t="s">
        <v>39</v>
      </c>
      <c r="D519" s="24">
        <f>IFERROR(INDEX(Metas!$D$2:$D$104, MATCH(E519,Metas!$E$2:$E$104, 0)), "Não encontrado")</f>
        <v>111</v>
      </c>
      <c r="E519" s="16" t="s">
        <v>40</v>
      </c>
      <c r="F519" s="16" t="s">
        <v>766</v>
      </c>
      <c r="G519" s="62" t="str">
        <f t="shared" ca="1" si="35"/>
        <v>Atrasado</v>
      </c>
      <c r="H519" s="28"/>
      <c r="I519" s="30">
        <v>0</v>
      </c>
      <c r="J519" s="53">
        <f t="shared" si="33"/>
        <v>15.3781512605042</v>
      </c>
      <c r="K519" s="25">
        <v>45962</v>
      </c>
      <c r="L519" s="25">
        <v>46022</v>
      </c>
      <c r="M519" s="26">
        <f t="shared" si="36"/>
        <v>61</v>
      </c>
      <c r="N519" s="69">
        <f>IFERROR(INDEX(Tabela3[ID_Responsavel], MATCH(O519,Tabela3[[Responsáveis ]], 0)), "Não encontrado")</f>
        <v>20</v>
      </c>
      <c r="O519" s="120" t="s">
        <v>38</v>
      </c>
      <c r="P519" s="142" t="s">
        <v>19</v>
      </c>
      <c r="Q519" s="20"/>
    </row>
    <row r="520" spans="1:17" ht="15" hidden="1" customHeight="1">
      <c r="A520" s="122">
        <f>IFERROR(INDEX(Tabela2[ID_Area], MATCH(B520,Tabela2[Area], 0)), "Não encontrado")</f>
        <v>1004</v>
      </c>
      <c r="B520" s="116" t="s">
        <v>15</v>
      </c>
      <c r="C520" s="16" t="s">
        <v>16</v>
      </c>
      <c r="D520" s="24">
        <f>IFERROR(INDEX(Metas!$D$2:$D$104, MATCH(E520,Metas!$E$2:$E$104, 0)), "Não encontrado")</f>
        <v>112</v>
      </c>
      <c r="E520" s="16" t="s">
        <v>42</v>
      </c>
      <c r="F520" s="16" t="s">
        <v>643</v>
      </c>
      <c r="G520" s="62" t="str">
        <f t="shared" ca="1" si="35"/>
        <v>Concluído</v>
      </c>
      <c r="H520" s="158">
        <v>45910</v>
      </c>
      <c r="I520" s="30">
        <v>1</v>
      </c>
      <c r="J520" s="53">
        <f t="shared" si="33"/>
        <v>7.024390243902439</v>
      </c>
      <c r="K520" s="25">
        <v>45901</v>
      </c>
      <c r="L520" s="25">
        <v>45912</v>
      </c>
      <c r="M520" s="26">
        <f t="shared" si="36"/>
        <v>12</v>
      </c>
      <c r="N520" s="69">
        <f>IFERROR(INDEX(Tabela3[ID_Responsavel], MATCH(O520,Tabela3[[Responsáveis ]], 0)), "Não encontrado")</f>
        <v>20</v>
      </c>
      <c r="O520" s="120" t="s">
        <v>38</v>
      </c>
      <c r="P520" s="142" t="s">
        <v>19</v>
      </c>
      <c r="Q520" s="20"/>
    </row>
    <row r="521" spans="1:17" ht="15" hidden="1" customHeight="1">
      <c r="A521" s="122">
        <f>IFERROR(INDEX(Tabela2[ID_Area], MATCH(B521,Tabela2[Area], 0)), "Não encontrado")</f>
        <v>1004</v>
      </c>
      <c r="B521" s="116" t="s">
        <v>15</v>
      </c>
      <c r="C521" s="16" t="s">
        <v>16</v>
      </c>
      <c r="D521" s="24">
        <f>IFERROR(INDEX(Metas!$D$2:$D$104, MATCH(E521,Metas!$E$2:$E$104, 0)), "Não encontrado")</f>
        <v>112</v>
      </c>
      <c r="E521" s="16" t="s">
        <v>42</v>
      </c>
      <c r="F521" s="16" t="s">
        <v>644</v>
      </c>
      <c r="G521" s="62" t="str">
        <f t="shared" ca="1" si="35"/>
        <v>Concluído</v>
      </c>
      <c r="H521" s="158">
        <v>45923</v>
      </c>
      <c r="I521" s="30">
        <v>1</v>
      </c>
      <c r="J521" s="53">
        <f t="shared" si="33"/>
        <v>5.8536585365853657</v>
      </c>
      <c r="K521" s="25">
        <v>45915</v>
      </c>
      <c r="L521" s="25">
        <v>45924</v>
      </c>
      <c r="M521" s="26">
        <f t="shared" si="36"/>
        <v>10</v>
      </c>
      <c r="N521" s="69">
        <f>IFERROR(INDEX(Tabela3[ID_Responsavel], MATCH(O521,Tabela3[[Responsáveis ]], 0)), "Não encontrado")</f>
        <v>20</v>
      </c>
      <c r="O521" s="120" t="s">
        <v>38</v>
      </c>
      <c r="P521" s="142" t="s">
        <v>19</v>
      </c>
      <c r="Q521" s="20"/>
    </row>
    <row r="522" spans="1:17" ht="15" hidden="1" customHeight="1">
      <c r="A522" s="122">
        <f>IFERROR(INDEX(Tabela2[ID_Area], MATCH(B522,Tabela2[Area], 0)), "Não encontrado")</f>
        <v>1004</v>
      </c>
      <c r="B522" s="116" t="s">
        <v>15</v>
      </c>
      <c r="C522" s="16" t="s">
        <v>16</v>
      </c>
      <c r="D522" s="24">
        <f>IFERROR(INDEX(Metas!$D$2:$D$104, MATCH(E522,Metas!$E$2:$E$104, 0)), "Não encontrado")</f>
        <v>112</v>
      </c>
      <c r="E522" s="16" t="s">
        <v>42</v>
      </c>
      <c r="F522" s="16" t="s">
        <v>645</v>
      </c>
      <c r="G522" s="62" t="str">
        <f t="shared" ca="1" si="35"/>
        <v>Concluído</v>
      </c>
      <c r="H522" s="158">
        <v>45923</v>
      </c>
      <c r="I522" s="30">
        <v>1</v>
      </c>
      <c r="J522" s="53">
        <f t="shared" si="33"/>
        <v>8.7804878048780477</v>
      </c>
      <c r="K522" s="25">
        <v>45925</v>
      </c>
      <c r="L522" s="25">
        <v>45939</v>
      </c>
      <c r="M522" s="26">
        <f t="shared" si="36"/>
        <v>15</v>
      </c>
      <c r="N522" s="69">
        <f>IFERROR(INDEX(Tabela3[ID_Responsavel], MATCH(O522,Tabela3[[Responsáveis ]], 0)), "Não encontrado")</f>
        <v>20</v>
      </c>
      <c r="O522" s="120" t="s">
        <v>38</v>
      </c>
      <c r="P522" s="142" t="s">
        <v>19</v>
      </c>
      <c r="Q522" s="20"/>
    </row>
    <row r="523" spans="1:17" ht="15" hidden="1" customHeight="1">
      <c r="A523" s="122">
        <f>IFERROR(INDEX(Tabela2[ID_Area], MATCH(B523,Tabela2[Area], 0)), "Não encontrado")</f>
        <v>1004</v>
      </c>
      <c r="B523" s="116" t="s">
        <v>15</v>
      </c>
      <c r="C523" s="16" t="s">
        <v>16</v>
      </c>
      <c r="D523" s="24">
        <f>IFERROR(INDEX(Metas!$D$2:$D$104, MATCH(E523,Metas!$E$2:$E$104, 0)), "Não encontrado")</f>
        <v>112</v>
      </c>
      <c r="E523" s="16" t="s">
        <v>42</v>
      </c>
      <c r="F523" s="16" t="s">
        <v>646</v>
      </c>
      <c r="G523" s="62" t="str">
        <f t="shared" ca="1" si="35"/>
        <v>Concluído</v>
      </c>
      <c r="H523" s="158">
        <v>45988</v>
      </c>
      <c r="I523" s="30">
        <v>1</v>
      </c>
      <c r="J523" s="53">
        <f t="shared" si="33"/>
        <v>18.73170731707317</v>
      </c>
      <c r="K523" s="25">
        <v>45940</v>
      </c>
      <c r="L523" s="25">
        <v>45971</v>
      </c>
      <c r="M523" s="26">
        <f t="shared" si="36"/>
        <v>32</v>
      </c>
      <c r="N523" s="69">
        <f>IFERROR(INDEX(Tabela3[ID_Responsavel], MATCH(O523,Tabela3[[Responsáveis ]], 0)), "Não encontrado")</f>
        <v>20</v>
      </c>
      <c r="O523" s="120" t="s">
        <v>38</v>
      </c>
      <c r="P523" s="142" t="s">
        <v>19</v>
      </c>
      <c r="Q523" s="20"/>
    </row>
    <row r="524" spans="1:17" ht="15" hidden="1" customHeight="1">
      <c r="A524" s="122">
        <f>IFERROR(INDEX(Tabela2[ID_Area], MATCH(B524,Tabela2[Area], 0)), "Não encontrado")</f>
        <v>1004</v>
      </c>
      <c r="B524" s="116" t="s">
        <v>15</v>
      </c>
      <c r="C524" s="16" t="s">
        <v>16</v>
      </c>
      <c r="D524" s="24">
        <f>IFERROR(INDEX(Metas!$D$2:$D$104, MATCH(E524,Metas!$E$2:$E$104, 0)), "Não encontrado")</f>
        <v>112</v>
      </c>
      <c r="E524" s="16" t="s">
        <v>42</v>
      </c>
      <c r="F524" s="16" t="s">
        <v>647</v>
      </c>
      <c r="G524" s="62" t="str">
        <f t="shared" ca="1" si="35"/>
        <v>Concluído</v>
      </c>
      <c r="H524" s="158">
        <v>45988</v>
      </c>
      <c r="I524" s="30">
        <v>1</v>
      </c>
      <c r="J524" s="53">
        <f t="shared" si="33"/>
        <v>18.73170731707317</v>
      </c>
      <c r="K524" s="25">
        <v>45940</v>
      </c>
      <c r="L524" s="25">
        <v>45971</v>
      </c>
      <c r="M524" s="26">
        <f t="shared" si="36"/>
        <v>32</v>
      </c>
      <c r="N524" s="69">
        <f>IFERROR(INDEX(Tabela3[ID_Responsavel], MATCH(O524,Tabela3[[Responsáveis ]], 0)), "Não encontrado")</f>
        <v>20</v>
      </c>
      <c r="O524" s="120" t="s">
        <v>38</v>
      </c>
      <c r="P524" s="142" t="s">
        <v>19</v>
      </c>
      <c r="Q524" s="20"/>
    </row>
    <row r="525" spans="1:17" ht="15" hidden="1" customHeight="1">
      <c r="A525" s="122">
        <f>IFERROR(INDEX(Tabela2[ID_Area], MATCH(B525,Tabela2[Area], 0)), "Não encontrado")</f>
        <v>1004</v>
      </c>
      <c r="B525" s="116" t="s">
        <v>15</v>
      </c>
      <c r="C525" s="16" t="s">
        <v>16</v>
      </c>
      <c r="D525" s="24">
        <f>IFERROR(INDEX(Metas!$D$2:$D$104, MATCH(E525,Metas!$E$2:$E$104, 0)), "Não encontrado")</f>
        <v>112</v>
      </c>
      <c r="E525" s="16" t="s">
        <v>42</v>
      </c>
      <c r="F525" s="16" t="s">
        <v>648</v>
      </c>
      <c r="G525" s="62" t="str">
        <f t="shared" ca="1" si="35"/>
        <v>Concluído</v>
      </c>
      <c r="H525" s="158">
        <v>46001</v>
      </c>
      <c r="I525" s="30">
        <v>1</v>
      </c>
      <c r="J525" s="53">
        <f t="shared" si="33"/>
        <v>18.73170731707317</v>
      </c>
      <c r="K525" s="25">
        <v>45940</v>
      </c>
      <c r="L525" s="25">
        <v>45971</v>
      </c>
      <c r="M525" s="26">
        <f t="shared" si="36"/>
        <v>32</v>
      </c>
      <c r="N525" s="69">
        <f>IFERROR(INDEX(Tabela3[ID_Responsavel], MATCH(O525,Tabela3[[Responsáveis ]], 0)), "Não encontrado")</f>
        <v>20</v>
      </c>
      <c r="O525" s="120" t="s">
        <v>38</v>
      </c>
      <c r="P525" s="142" t="s">
        <v>19</v>
      </c>
      <c r="Q525" s="20"/>
    </row>
    <row r="526" spans="1:17" ht="15" hidden="1" customHeight="1">
      <c r="A526" s="122">
        <f>IFERROR(INDEX(Tabela2[ID_Area], MATCH(B526,Tabela2[Area], 0)), "Não encontrado")</f>
        <v>1004</v>
      </c>
      <c r="B526" s="116" t="s">
        <v>15</v>
      </c>
      <c r="C526" s="16" t="s">
        <v>16</v>
      </c>
      <c r="D526" s="24">
        <f>IFERROR(INDEX(Metas!$D$2:$D$104, MATCH(E526,Metas!$E$2:$E$104, 0)), "Não encontrado")</f>
        <v>112</v>
      </c>
      <c r="E526" s="16" t="s">
        <v>42</v>
      </c>
      <c r="F526" s="16" t="s">
        <v>649</v>
      </c>
      <c r="G526" s="62" t="str">
        <f t="shared" ca="1" si="35"/>
        <v>Concluído</v>
      </c>
      <c r="H526" s="158">
        <v>46008</v>
      </c>
      <c r="I526" s="30">
        <v>1</v>
      </c>
      <c r="J526" s="53">
        <f t="shared" si="33"/>
        <v>21.073170731707314</v>
      </c>
      <c r="K526" s="25">
        <v>45971</v>
      </c>
      <c r="L526" s="25">
        <v>46006</v>
      </c>
      <c r="M526" s="26">
        <f t="shared" si="36"/>
        <v>36</v>
      </c>
      <c r="N526" s="69">
        <f>IFERROR(INDEX(Tabela3[ID_Responsavel], MATCH(O526,Tabela3[[Responsáveis ]], 0)), "Não encontrado")</f>
        <v>20</v>
      </c>
      <c r="O526" s="120" t="s">
        <v>38</v>
      </c>
      <c r="P526" s="142" t="s">
        <v>19</v>
      </c>
      <c r="Q526" s="20"/>
    </row>
    <row r="527" spans="1:17" ht="15" hidden="1" customHeight="1">
      <c r="A527" s="122">
        <f>IFERROR(INDEX(Tabela2[ID_Area], MATCH(B527,Tabela2[Area], 0)), "Não encontrado")</f>
        <v>1004</v>
      </c>
      <c r="B527" s="116" t="s">
        <v>15</v>
      </c>
      <c r="C527" s="16" t="s">
        <v>16</v>
      </c>
      <c r="D527" s="24">
        <f>IFERROR(INDEX(Metas!$D$2:$D$104, MATCH(E527,Metas!$E$2:$E$104, 0)), "Não encontrado")</f>
        <v>112</v>
      </c>
      <c r="E527" s="16" t="s">
        <v>42</v>
      </c>
      <c r="F527" s="16" t="s">
        <v>650</v>
      </c>
      <c r="G527" s="62" t="str">
        <f t="shared" ca="1" si="35"/>
        <v>Concluído</v>
      </c>
      <c r="H527" s="158">
        <v>46009</v>
      </c>
      <c r="I527" s="30">
        <v>1</v>
      </c>
      <c r="J527" s="53">
        <f t="shared" si="33"/>
        <v>21.073170731707314</v>
      </c>
      <c r="K527" s="25">
        <v>45971</v>
      </c>
      <c r="L527" s="25">
        <v>46006</v>
      </c>
      <c r="M527" s="26">
        <f t="shared" ref="M527:M562" si="37" xml:space="preserve"> L527 - K527 + 1</f>
        <v>36</v>
      </c>
      <c r="N527" s="69">
        <f>IFERROR(INDEX(Tabela3[ID_Responsavel], MATCH(O527,Tabela3[[Responsáveis ]], 0)), "Não encontrado")</f>
        <v>20</v>
      </c>
      <c r="O527" s="120" t="s">
        <v>38</v>
      </c>
      <c r="P527" s="142" t="s">
        <v>19</v>
      </c>
      <c r="Q527" s="20"/>
    </row>
    <row r="528" spans="1:17" ht="15" hidden="1" customHeight="1">
      <c r="A528" s="122">
        <f>IFERROR(INDEX(Tabela2[ID_Area], MATCH(B528,Tabela2[Area], 0)), "Não encontrado")</f>
        <v>1004</v>
      </c>
      <c r="B528" s="116" t="s">
        <v>15</v>
      </c>
      <c r="C528" s="16" t="s">
        <v>24</v>
      </c>
      <c r="D528" s="24">
        <f>IFERROR(INDEX(Metas!$D$2:$D$104, MATCH(E528,Metas!$E$2:$E$104, 0)), "Não encontrado")</f>
        <v>113</v>
      </c>
      <c r="E528" s="16" t="s">
        <v>43</v>
      </c>
      <c r="F528" s="16" t="s">
        <v>767</v>
      </c>
      <c r="G528" s="62" t="str">
        <f t="shared" ca="1" si="35"/>
        <v>Concluído</v>
      </c>
      <c r="H528" s="158">
        <v>45962</v>
      </c>
      <c r="I528" s="30">
        <v>1</v>
      </c>
      <c r="J528" s="53">
        <f t="shared" si="33"/>
        <v>30</v>
      </c>
      <c r="K528" s="25">
        <v>45717</v>
      </c>
      <c r="L528" s="25">
        <v>45991</v>
      </c>
      <c r="M528" s="26">
        <f t="shared" si="37"/>
        <v>275</v>
      </c>
      <c r="N528" s="69">
        <f>IFERROR(INDEX(Tabela3[ID_Responsavel], MATCH(O528,Tabela3[[Responsáveis ]], 0)), "Não encontrado")</f>
        <v>20</v>
      </c>
      <c r="O528" s="120" t="s">
        <v>38</v>
      </c>
      <c r="P528" s="142" t="s">
        <v>19</v>
      </c>
      <c r="Q528" s="20" t="s">
        <v>768</v>
      </c>
    </row>
    <row r="529" spans="1:17" ht="15" hidden="1" customHeight="1">
      <c r="A529" s="122">
        <f>IFERROR(INDEX(Tabela2[ID_Area], MATCH(B529,Tabela2[Area], 0)), "Não encontrado")</f>
        <v>1004</v>
      </c>
      <c r="B529" s="116" t="s">
        <v>15</v>
      </c>
      <c r="C529" s="16" t="s">
        <v>24</v>
      </c>
      <c r="D529" s="24">
        <f>IFERROR(INDEX(Metas!$D$2:$D$104, MATCH(E529,Metas!$E$2:$E$104, 0)), "Não encontrado")</f>
        <v>113</v>
      </c>
      <c r="E529" s="16" t="s">
        <v>43</v>
      </c>
      <c r="F529" s="16" t="s">
        <v>769</v>
      </c>
      <c r="G529" s="62" t="str">
        <f t="shared" ca="1" si="35"/>
        <v>Concluído</v>
      </c>
      <c r="H529" s="158">
        <v>46010</v>
      </c>
      <c r="I529" s="30">
        <v>1</v>
      </c>
      <c r="J529" s="53">
        <f t="shared" si="33"/>
        <v>30</v>
      </c>
      <c r="K529" s="25">
        <v>45717</v>
      </c>
      <c r="L529" s="25">
        <v>45991</v>
      </c>
      <c r="M529" s="26">
        <f t="shared" si="37"/>
        <v>275</v>
      </c>
      <c r="N529" s="69">
        <f>IFERROR(INDEX(Tabela3[ID_Responsavel], MATCH(O529,Tabela3[[Responsáveis ]], 0)), "Não encontrado")</f>
        <v>20</v>
      </c>
      <c r="O529" s="120" t="s">
        <v>38</v>
      </c>
      <c r="P529" s="142" t="s">
        <v>19</v>
      </c>
      <c r="Q529" s="20"/>
    </row>
    <row r="530" spans="1:17" ht="15" hidden="1" customHeight="1">
      <c r="A530" s="122">
        <f>IFERROR(INDEX(Tabela2[ID_Area], MATCH(B530,Tabela2[Area], 0)), "Não encontrado")</f>
        <v>1004</v>
      </c>
      <c r="B530" s="116" t="s">
        <v>15</v>
      </c>
      <c r="C530" s="16" t="s">
        <v>24</v>
      </c>
      <c r="D530" s="24">
        <f>IFERROR(INDEX(Metas!$D$2:$D$104, MATCH(E530,Metas!$E$2:$E$104, 0)), "Não encontrado")</f>
        <v>113</v>
      </c>
      <c r="E530" s="16" t="s">
        <v>43</v>
      </c>
      <c r="F530" s="16" t="s">
        <v>770</v>
      </c>
      <c r="G530" s="62" t="str">
        <f t="shared" ca="1" si="35"/>
        <v>Concluído</v>
      </c>
      <c r="H530" s="158">
        <v>46010</v>
      </c>
      <c r="I530" s="30">
        <v>1</v>
      </c>
      <c r="J530" s="53">
        <f t="shared" si="33"/>
        <v>30</v>
      </c>
      <c r="K530" s="25">
        <v>45717</v>
      </c>
      <c r="L530" s="25">
        <v>45991</v>
      </c>
      <c r="M530" s="26">
        <f t="shared" si="37"/>
        <v>275</v>
      </c>
      <c r="N530" s="69">
        <f>IFERROR(INDEX(Tabela3[ID_Responsavel], MATCH(O530,Tabela3[[Responsáveis ]], 0)), "Não encontrado")</f>
        <v>20</v>
      </c>
      <c r="O530" s="120" t="s">
        <v>38</v>
      </c>
      <c r="P530" s="142" t="s">
        <v>19</v>
      </c>
      <c r="Q530" s="20" t="s">
        <v>771</v>
      </c>
    </row>
    <row r="531" spans="1:17" ht="15" hidden="1" customHeight="1">
      <c r="A531" s="122">
        <f>IFERROR(INDEX(Tabela2[ID_Area], MATCH(B531,Tabela2[Area], 0)), "Não encontrado")</f>
        <v>1004</v>
      </c>
      <c r="B531" s="116" t="s">
        <v>15</v>
      </c>
      <c r="C531" s="16" t="s">
        <v>24</v>
      </c>
      <c r="D531" s="24">
        <f>IFERROR(INDEX(Metas!$D$2:$D$104, MATCH(E531,Metas!$E$2:$E$104, 0)), "Não encontrado")</f>
        <v>113</v>
      </c>
      <c r="E531" s="16" t="s">
        <v>43</v>
      </c>
      <c r="F531" s="16" t="s">
        <v>772</v>
      </c>
      <c r="G531" s="62" t="str">
        <f t="shared" ca="1" si="35"/>
        <v>Concluído</v>
      </c>
      <c r="H531" s="158">
        <v>46010</v>
      </c>
      <c r="I531" s="30">
        <v>1</v>
      </c>
      <c r="J531" s="53">
        <f t="shared" si="33"/>
        <v>30</v>
      </c>
      <c r="K531" s="25">
        <v>45717</v>
      </c>
      <c r="L531" s="25">
        <v>45991</v>
      </c>
      <c r="M531" s="26">
        <f t="shared" si="37"/>
        <v>275</v>
      </c>
      <c r="N531" s="69">
        <f>IFERROR(INDEX(Tabela3[ID_Responsavel], MATCH(O531,Tabela3[[Responsáveis ]], 0)), "Não encontrado")</f>
        <v>20</v>
      </c>
      <c r="O531" s="120" t="s">
        <v>38</v>
      </c>
      <c r="P531" s="142" t="s">
        <v>19</v>
      </c>
      <c r="Q531" s="20" t="s">
        <v>771</v>
      </c>
    </row>
    <row r="532" spans="1:17" ht="15" hidden="1" customHeight="1">
      <c r="A532" s="122">
        <f>IFERROR(INDEX(Tabela2[ID_Area], MATCH(B532,Tabela2[Area], 0)), "Não encontrado")</f>
        <v>1004</v>
      </c>
      <c r="B532" s="116" t="s">
        <v>15</v>
      </c>
      <c r="C532" s="16" t="s">
        <v>33</v>
      </c>
      <c r="D532" s="24">
        <f>IFERROR(INDEX(Metas!$D$2:$D$104, MATCH(E532,Metas!$E$2:$E$104, 0)), "Não encontrado")</f>
        <v>114</v>
      </c>
      <c r="E532" s="16" t="s">
        <v>44</v>
      </c>
      <c r="F532" s="16" t="s">
        <v>740</v>
      </c>
      <c r="G532" s="62" t="str">
        <f t="shared" ca="1" si="35"/>
        <v>Concluído</v>
      </c>
      <c r="H532" s="158">
        <v>45891</v>
      </c>
      <c r="I532" s="30">
        <v>1</v>
      </c>
      <c r="J532" s="53">
        <f t="shared" si="33"/>
        <v>10.830473575840768</v>
      </c>
      <c r="K532" s="25">
        <v>45658</v>
      </c>
      <c r="L532" s="25">
        <v>45920</v>
      </c>
      <c r="M532" s="26">
        <f t="shared" si="37"/>
        <v>263</v>
      </c>
      <c r="N532" s="69">
        <f>IFERROR(INDEX(Tabela3[ID_Responsavel], MATCH(O532,Tabela3[[Responsáveis ]], 0)), "Não encontrado")</f>
        <v>20</v>
      </c>
      <c r="O532" s="120" t="s">
        <v>38</v>
      </c>
      <c r="P532" s="142" t="s">
        <v>19</v>
      </c>
      <c r="Q532" s="20" t="s">
        <v>741</v>
      </c>
    </row>
    <row r="533" spans="1:17" ht="15" hidden="1" customHeight="1">
      <c r="A533" s="122">
        <f>IFERROR(INDEX(Tabela2[ID_Area], MATCH(B533,Tabela2[Area], 0)), "Não encontrado")</f>
        <v>1004</v>
      </c>
      <c r="B533" s="116" t="s">
        <v>15</v>
      </c>
      <c r="C533" s="16" t="s">
        <v>33</v>
      </c>
      <c r="D533" s="24">
        <f>IFERROR(INDEX(Metas!$D$2:$D$104, MATCH(E533,Metas!$E$2:$E$104, 0)), "Não encontrado")</f>
        <v>114</v>
      </c>
      <c r="E533" s="16" t="s">
        <v>44</v>
      </c>
      <c r="F533" s="16" t="s">
        <v>742</v>
      </c>
      <c r="G533" s="62" t="str">
        <f t="shared" ca="1" si="35"/>
        <v>Concluído</v>
      </c>
      <c r="H533" s="158">
        <v>45923</v>
      </c>
      <c r="I533" s="30">
        <v>1</v>
      </c>
      <c r="J533" s="53">
        <f t="shared" si="33"/>
        <v>10.789293067947838</v>
      </c>
      <c r="K533" s="25">
        <v>45658</v>
      </c>
      <c r="L533" s="25">
        <v>45919</v>
      </c>
      <c r="M533" s="26">
        <f t="shared" si="37"/>
        <v>262</v>
      </c>
      <c r="N533" s="69">
        <f>IFERROR(INDEX(Tabela3[ID_Responsavel], MATCH(O533,Tabela3[[Responsáveis ]], 0)), "Não encontrado")</f>
        <v>20</v>
      </c>
      <c r="O533" s="120" t="s">
        <v>38</v>
      </c>
      <c r="P533" s="142" t="s">
        <v>19</v>
      </c>
      <c r="Q533" s="20" t="s">
        <v>743</v>
      </c>
    </row>
    <row r="534" spans="1:17" ht="15" hidden="1" customHeight="1">
      <c r="A534" s="122">
        <f>IFERROR(INDEX(Tabela2[ID_Area], MATCH(B534,Tabela2[Area], 0)), "Não encontrado")</f>
        <v>1004</v>
      </c>
      <c r="B534" s="116" t="s">
        <v>15</v>
      </c>
      <c r="C534" s="16" t="s">
        <v>33</v>
      </c>
      <c r="D534" s="24">
        <f>IFERROR(INDEX(Metas!$D$2:$D$104, MATCH(E534,Metas!$E$2:$E$104, 0)), "Não encontrado")</f>
        <v>114</v>
      </c>
      <c r="E534" s="16" t="s">
        <v>44</v>
      </c>
      <c r="F534" s="16" t="s">
        <v>744</v>
      </c>
      <c r="G534" s="62" t="str">
        <f t="shared" ca="1" si="35"/>
        <v>Concluído</v>
      </c>
      <c r="H534" s="158">
        <v>45993</v>
      </c>
      <c r="I534" s="30">
        <v>1</v>
      </c>
      <c r="J534" s="53">
        <f t="shared" si="33"/>
        <v>14.248455730954015</v>
      </c>
      <c r="K534" s="25">
        <v>45677</v>
      </c>
      <c r="L534" s="25">
        <v>46022</v>
      </c>
      <c r="M534" s="26">
        <f t="shared" si="37"/>
        <v>346</v>
      </c>
      <c r="N534" s="69">
        <f>IFERROR(INDEX(Tabela3[ID_Responsavel], MATCH(O534,Tabela3[[Responsáveis ]], 0)), "Não encontrado")</f>
        <v>20</v>
      </c>
      <c r="O534" s="120" t="s">
        <v>38</v>
      </c>
      <c r="P534" s="142" t="s">
        <v>19</v>
      </c>
      <c r="Q534" s="20" t="s">
        <v>745</v>
      </c>
    </row>
    <row r="535" spans="1:17" ht="15" hidden="1" customHeight="1">
      <c r="A535" s="122">
        <f>IFERROR(INDEX(Tabela2[ID_Area], MATCH(B535,Tabela2[Area], 0)), "Não encontrado")</f>
        <v>1004</v>
      </c>
      <c r="B535" s="116" t="s">
        <v>15</v>
      </c>
      <c r="C535" s="16" t="s">
        <v>33</v>
      </c>
      <c r="D535" s="24">
        <f>IFERROR(INDEX(Metas!$D$2:$D$104, MATCH(E535,Metas!$E$2:$E$104, 0)), "Não encontrado")</f>
        <v>114</v>
      </c>
      <c r="E535" s="16" t="s">
        <v>44</v>
      </c>
      <c r="F535" s="16" t="s">
        <v>746</v>
      </c>
      <c r="G535" s="62" t="str">
        <f t="shared" ca="1" si="35"/>
        <v>Concluído</v>
      </c>
      <c r="H535" s="158">
        <v>46010</v>
      </c>
      <c r="I535" s="30">
        <v>1</v>
      </c>
      <c r="J535" s="53">
        <f t="shared" si="33"/>
        <v>13.177762525737817</v>
      </c>
      <c r="K535" s="25">
        <v>45703</v>
      </c>
      <c r="L535" s="25">
        <v>46022</v>
      </c>
      <c r="M535" s="26">
        <f t="shared" si="37"/>
        <v>320</v>
      </c>
      <c r="N535" s="69">
        <f>IFERROR(INDEX(Tabela3[ID_Responsavel], MATCH(O535,Tabela3[[Responsáveis ]], 0)), "Não encontrado")</f>
        <v>20</v>
      </c>
      <c r="O535" s="120" t="s">
        <v>38</v>
      </c>
      <c r="P535" s="142" t="s">
        <v>19</v>
      </c>
      <c r="Q535" s="20" t="s">
        <v>747</v>
      </c>
    </row>
    <row r="536" spans="1:17" ht="15" hidden="1" customHeight="1">
      <c r="A536" s="122">
        <f>IFERROR(INDEX(Tabela2[ID_Area], MATCH(B536,Tabela2[Area], 0)), "Não encontrado")</f>
        <v>1004</v>
      </c>
      <c r="B536" s="116" t="s">
        <v>15</v>
      </c>
      <c r="C536" s="16" t="s">
        <v>33</v>
      </c>
      <c r="D536" s="24">
        <f>IFERROR(INDEX(Metas!$D$2:$D$104, MATCH(E536,Metas!$E$2:$E$104, 0)), "Não encontrado")</f>
        <v>114</v>
      </c>
      <c r="E536" s="16" t="s">
        <v>44</v>
      </c>
      <c r="F536" s="16" t="s">
        <v>748</v>
      </c>
      <c r="G536" s="62" t="str">
        <f t="shared" ca="1" si="35"/>
        <v>Concluído</v>
      </c>
      <c r="H536" s="158">
        <v>46010</v>
      </c>
      <c r="I536" s="30">
        <v>1</v>
      </c>
      <c r="J536" s="53">
        <f t="shared" si="33"/>
        <v>12.024708304735759</v>
      </c>
      <c r="K536" s="25">
        <v>45731</v>
      </c>
      <c r="L536" s="25">
        <v>46022</v>
      </c>
      <c r="M536" s="26">
        <f t="shared" si="37"/>
        <v>292</v>
      </c>
      <c r="N536" s="69">
        <f>IFERROR(INDEX(Tabela3[ID_Responsavel], MATCH(O536,Tabela3[[Responsáveis ]], 0)), "Não encontrado")</f>
        <v>20</v>
      </c>
      <c r="O536" s="120" t="s">
        <v>38</v>
      </c>
      <c r="P536" s="142" t="s">
        <v>19</v>
      </c>
      <c r="Q536" s="20" t="s">
        <v>749</v>
      </c>
    </row>
    <row r="537" spans="1:17" ht="15" hidden="1" customHeight="1">
      <c r="A537" s="122">
        <f>IFERROR(INDEX(Tabela2[ID_Area], MATCH(B537,Tabela2[Area], 0)), "Não encontrado")</f>
        <v>1004</v>
      </c>
      <c r="B537" s="116" t="s">
        <v>15</v>
      </c>
      <c r="C537" s="16" t="s">
        <v>33</v>
      </c>
      <c r="D537" s="24">
        <f>IFERROR(INDEX(Metas!$D$2:$D$104, MATCH(E537,Metas!$E$2:$E$104, 0)), "Não encontrado")</f>
        <v>114</v>
      </c>
      <c r="E537" s="16" t="s">
        <v>44</v>
      </c>
      <c r="F537" s="16" t="s">
        <v>750</v>
      </c>
      <c r="G537" s="62" t="str">
        <f t="shared" ca="1" si="35"/>
        <v>Concluído</v>
      </c>
      <c r="H537" s="158">
        <v>45888</v>
      </c>
      <c r="I537" s="30">
        <v>1</v>
      </c>
      <c r="J537" s="53">
        <f t="shared" si="33"/>
        <v>0.61770761839396016</v>
      </c>
      <c r="K537" s="25">
        <v>45658</v>
      </c>
      <c r="L537" s="25">
        <v>45672</v>
      </c>
      <c r="M537" s="26">
        <f t="shared" si="37"/>
        <v>15</v>
      </c>
      <c r="N537" s="69">
        <f>IFERROR(INDEX(Tabela3[ID_Responsavel], MATCH(O537,Tabela3[[Responsáveis ]], 0)), "Não encontrado")</f>
        <v>20</v>
      </c>
      <c r="O537" s="120" t="s">
        <v>38</v>
      </c>
      <c r="P537" s="142" t="s">
        <v>19</v>
      </c>
      <c r="Q537" s="20" t="s">
        <v>751</v>
      </c>
    </row>
    <row r="538" spans="1:17" ht="15" hidden="1" customHeight="1">
      <c r="A538" s="122">
        <f>IFERROR(INDEX(Tabela2[ID_Area], MATCH(B538,Tabela2[Area], 0)), "Não encontrado")</f>
        <v>1004</v>
      </c>
      <c r="B538" s="116" t="s">
        <v>15</v>
      </c>
      <c r="C538" s="16" t="s">
        <v>33</v>
      </c>
      <c r="D538" s="24">
        <f>IFERROR(INDEX(Metas!$D$2:$D$104, MATCH(E538,Metas!$E$2:$E$104, 0)), "Não encontrado")</f>
        <v>114</v>
      </c>
      <c r="E538" s="16" t="s">
        <v>44</v>
      </c>
      <c r="F538" s="16" t="s">
        <v>752</v>
      </c>
      <c r="G538" s="62" t="str">
        <f t="shared" ca="1" si="35"/>
        <v>Concluído</v>
      </c>
      <c r="H538" s="158">
        <v>46010</v>
      </c>
      <c r="I538" s="30">
        <v>1</v>
      </c>
      <c r="J538" s="53">
        <f t="shared" si="33"/>
        <v>15.030885380919699</v>
      </c>
      <c r="K538" s="25">
        <v>45658</v>
      </c>
      <c r="L538" s="25">
        <v>46022</v>
      </c>
      <c r="M538" s="26">
        <f t="shared" si="37"/>
        <v>365</v>
      </c>
      <c r="N538" s="69">
        <f>IFERROR(INDEX(Tabela3[ID_Responsavel], MATCH(O538,Tabela3[[Responsáveis ]], 0)), "Não encontrado")</f>
        <v>20</v>
      </c>
      <c r="O538" s="120" t="s">
        <v>38</v>
      </c>
      <c r="P538" s="142" t="s">
        <v>19</v>
      </c>
      <c r="Q538" s="20"/>
    </row>
    <row r="539" spans="1:17" ht="15" hidden="1" customHeight="1">
      <c r="A539" s="122">
        <f>IFERROR(INDEX(Tabela2[ID_Area], MATCH(B539,Tabela2[Area], 0)), "Não encontrado")</f>
        <v>1004</v>
      </c>
      <c r="B539" s="116" t="s">
        <v>15</v>
      </c>
      <c r="C539" s="16" t="s">
        <v>33</v>
      </c>
      <c r="D539" s="24">
        <f>IFERROR(INDEX(Metas!$D$2:$D$104, MATCH(E539,Metas!$E$2:$E$104, 0)), "Não encontrado")</f>
        <v>114</v>
      </c>
      <c r="E539" s="16" t="s">
        <v>44</v>
      </c>
      <c r="F539" s="16" t="s">
        <v>753</v>
      </c>
      <c r="G539" s="62" t="str">
        <f t="shared" ca="1" si="35"/>
        <v>Concluído</v>
      </c>
      <c r="H539" s="158">
        <v>46010</v>
      </c>
      <c r="I539" s="30">
        <v>1</v>
      </c>
      <c r="J539" s="53">
        <f t="shared" si="33"/>
        <v>12.601235415236788</v>
      </c>
      <c r="K539" s="25">
        <v>45717</v>
      </c>
      <c r="L539" s="25">
        <v>46022</v>
      </c>
      <c r="M539" s="26">
        <f t="shared" si="37"/>
        <v>306</v>
      </c>
      <c r="N539" s="69">
        <f>IFERROR(INDEX(Tabela3[ID_Responsavel], MATCH(O539,Tabela3[[Responsáveis ]], 0)), "Não encontrado")</f>
        <v>20</v>
      </c>
      <c r="O539" s="120" t="s">
        <v>38</v>
      </c>
      <c r="P539" s="142" t="s">
        <v>19</v>
      </c>
      <c r="Q539" s="20" t="s">
        <v>754</v>
      </c>
    </row>
    <row r="540" spans="1:17" ht="15" hidden="1" customHeight="1">
      <c r="A540" s="122">
        <f>IFERROR(INDEX(Tabela2[ID_Area], MATCH(B540,Tabela2[Area], 0)), "Não encontrado")</f>
        <v>1004</v>
      </c>
      <c r="B540" s="116" t="s">
        <v>15</v>
      </c>
      <c r="C540" s="16" t="s">
        <v>33</v>
      </c>
      <c r="D540" s="24">
        <f>IFERROR(INDEX(Metas!$D$2:$D$104, MATCH(E540,Metas!$E$2:$E$104, 0)), "Não encontrado")</f>
        <v>114</v>
      </c>
      <c r="E540" s="16" t="s">
        <v>44</v>
      </c>
      <c r="F540" s="16" t="s">
        <v>755</v>
      </c>
      <c r="G540" s="62" t="str">
        <f t="shared" ca="1" si="35"/>
        <v>Concluído</v>
      </c>
      <c r="H540" s="158">
        <v>45918</v>
      </c>
      <c r="I540" s="30">
        <v>1</v>
      </c>
      <c r="J540" s="53">
        <f t="shared" si="33"/>
        <v>4.4063143445435831</v>
      </c>
      <c r="K540" s="25">
        <v>45915</v>
      </c>
      <c r="L540" s="25">
        <v>46021</v>
      </c>
      <c r="M540" s="26">
        <f t="shared" si="37"/>
        <v>107</v>
      </c>
      <c r="N540" s="69">
        <f>IFERROR(INDEX(Tabela3[ID_Responsavel], MATCH(O540,Tabela3[[Responsáveis ]], 0)), "Não encontrado")</f>
        <v>20</v>
      </c>
      <c r="O540" s="120" t="s">
        <v>38</v>
      </c>
      <c r="P540" s="142" t="s">
        <v>19</v>
      </c>
      <c r="Q540" s="191" t="s">
        <v>756</v>
      </c>
    </row>
    <row r="541" spans="1:17" ht="15" hidden="1" customHeight="1">
      <c r="A541" s="122">
        <f>IFERROR(INDEX(Tabela2[ID_Area], MATCH(B541,Tabela2[Area], 0)), "Não encontrado")</f>
        <v>1004</v>
      </c>
      <c r="B541" s="116" t="s">
        <v>15</v>
      </c>
      <c r="C541" s="16" t="s">
        <v>33</v>
      </c>
      <c r="D541" s="24">
        <f>IFERROR(INDEX(Metas!$D$2:$D$104, MATCH(E541,Metas!$E$2:$E$104, 0)), "Não encontrado")</f>
        <v>114</v>
      </c>
      <c r="E541" s="16" t="s">
        <v>44</v>
      </c>
      <c r="F541" s="16" t="s">
        <v>757</v>
      </c>
      <c r="G541" s="62" t="str">
        <f t="shared" ca="1" si="35"/>
        <v>Concluído</v>
      </c>
      <c r="H541" s="158">
        <v>45861</v>
      </c>
      <c r="I541" s="30">
        <v>1</v>
      </c>
      <c r="J541" s="53">
        <f t="shared" si="33"/>
        <v>11.242278654770075</v>
      </c>
      <c r="K541" s="25">
        <v>45658</v>
      </c>
      <c r="L541" s="25">
        <v>45930</v>
      </c>
      <c r="M541" s="26">
        <f t="shared" si="37"/>
        <v>273</v>
      </c>
      <c r="N541" s="69">
        <f>IFERROR(INDEX(Tabela3[ID_Responsavel], MATCH(O541,Tabela3[[Responsáveis ]], 0)), "Não encontrado")</f>
        <v>20</v>
      </c>
      <c r="O541" s="120" t="s">
        <v>38</v>
      </c>
      <c r="P541" s="142" t="s">
        <v>19</v>
      </c>
      <c r="Q541" s="191" t="s">
        <v>758</v>
      </c>
    </row>
    <row r="542" spans="1:17" ht="15" hidden="1" customHeight="1">
      <c r="A542" s="122">
        <f>IFERROR(INDEX(Tabela2[ID_Area], MATCH(B542,Tabela2[Area], 0)), "Não encontrado")</f>
        <v>1004</v>
      </c>
      <c r="B542" s="116" t="s">
        <v>15</v>
      </c>
      <c r="C542" s="16" t="s">
        <v>33</v>
      </c>
      <c r="D542" s="24">
        <f>IFERROR(INDEX(Metas!$D$2:$D$104, MATCH(E542,Metas!$E$2:$E$104, 0)), "Não encontrado")</f>
        <v>114</v>
      </c>
      <c r="E542" s="16" t="s">
        <v>44</v>
      </c>
      <c r="F542" s="16" t="s">
        <v>759</v>
      </c>
      <c r="G542" s="62" t="str">
        <f t="shared" ca="1" si="35"/>
        <v>Concluído</v>
      </c>
      <c r="H542" s="158">
        <v>45861</v>
      </c>
      <c r="I542" s="30">
        <v>1</v>
      </c>
      <c r="J542" s="53">
        <f t="shared" si="33"/>
        <v>11.242278654770075</v>
      </c>
      <c r="K542" s="25">
        <v>45658</v>
      </c>
      <c r="L542" s="25">
        <v>45930</v>
      </c>
      <c r="M542" s="26">
        <f t="shared" si="37"/>
        <v>273</v>
      </c>
      <c r="N542" s="69">
        <f>IFERROR(INDEX(Tabela3[ID_Responsavel], MATCH(O542,Tabela3[[Responsáveis ]], 0)), "Não encontrado")</f>
        <v>20</v>
      </c>
      <c r="O542" s="120" t="s">
        <v>38</v>
      </c>
      <c r="P542" s="142" t="s">
        <v>19</v>
      </c>
      <c r="Q542" s="191" t="s">
        <v>758</v>
      </c>
    </row>
    <row r="543" spans="1:17" ht="15" hidden="1" customHeight="1">
      <c r="A543" s="122">
        <f>IFERROR(INDEX(Tabela2[ID_Area], MATCH(B543,Tabela2[Area], 0)), "Não encontrado")</f>
        <v>1004</v>
      </c>
      <c r="B543" s="116" t="s">
        <v>15</v>
      </c>
      <c r="C543" s="16" t="s">
        <v>33</v>
      </c>
      <c r="D543" s="24">
        <f>IFERROR(INDEX(Metas!$D$2:$D$104, MATCH(E543,Metas!$E$2:$E$104, 0)), "Não encontrado")</f>
        <v>114</v>
      </c>
      <c r="E543" s="16" t="s">
        <v>44</v>
      </c>
      <c r="F543" s="16" t="s">
        <v>760</v>
      </c>
      <c r="G543" s="62" t="str">
        <f t="shared" ca="1" si="35"/>
        <v>Atrasado</v>
      </c>
      <c r="H543" s="28"/>
      <c r="I543" s="30"/>
      <c r="J543" s="53">
        <f t="shared" si="33"/>
        <v>3.7886067261496228</v>
      </c>
      <c r="K543" s="25">
        <v>45931</v>
      </c>
      <c r="L543" s="25">
        <v>46022</v>
      </c>
      <c r="M543" s="26">
        <f t="shared" si="37"/>
        <v>92</v>
      </c>
      <c r="N543" s="69">
        <f>IFERROR(INDEX(Tabela3[ID_Responsavel], MATCH(O543,Tabela3[[Responsáveis ]], 0)), "Não encontrado")</f>
        <v>20</v>
      </c>
      <c r="O543" s="120" t="s">
        <v>38</v>
      </c>
      <c r="P543" s="142" t="s">
        <v>19</v>
      </c>
      <c r="Q543" s="20" t="s">
        <v>761</v>
      </c>
    </row>
    <row r="544" spans="1:17" ht="15" hidden="1" customHeight="1">
      <c r="A544" s="122">
        <f>IFERROR(INDEX(Tabela2[ID_Area], MATCH(B544,Tabela2[Area], 0)), "Não encontrado")</f>
        <v>1004</v>
      </c>
      <c r="B544" s="116" t="s">
        <v>15</v>
      </c>
      <c r="C544" s="16" t="s">
        <v>33</v>
      </c>
      <c r="D544" s="24">
        <f>IFERROR(INDEX(Metas!$D$2:$D$104, MATCH(E544,Metas!$E$2:$E$104, 0)), "Não encontrado")</f>
        <v>115</v>
      </c>
      <c r="E544" s="16" t="s">
        <v>45</v>
      </c>
      <c r="F544" s="16" t="s">
        <v>708</v>
      </c>
      <c r="G544" s="62" t="str">
        <f t="shared" ca="1" si="35"/>
        <v>Concluído</v>
      </c>
      <c r="H544" s="158">
        <v>45930</v>
      </c>
      <c r="I544" s="30">
        <v>1</v>
      </c>
      <c r="J544" s="53">
        <f t="shared" si="33"/>
        <v>8.8019559902200495</v>
      </c>
      <c r="K544" s="25">
        <v>45748</v>
      </c>
      <c r="L544" s="25">
        <v>45777</v>
      </c>
      <c r="M544" s="26">
        <f t="shared" si="37"/>
        <v>30</v>
      </c>
      <c r="N544" s="69">
        <f>IFERROR(INDEX(Tabela3[ID_Responsavel], MATCH(O544,Tabela3[[Responsáveis ]], 0)), "Não encontrado")</f>
        <v>20</v>
      </c>
      <c r="O544" s="120" t="s">
        <v>38</v>
      </c>
      <c r="P544" s="142" t="s">
        <v>19</v>
      </c>
      <c r="Q544" s="20"/>
    </row>
    <row r="545" spans="1:17" ht="15" hidden="1" customHeight="1">
      <c r="A545" s="122">
        <f>IFERROR(INDEX(Tabela2[ID_Area], MATCH(B545,Tabela2[Area], 0)), "Não encontrado")</f>
        <v>1004</v>
      </c>
      <c r="B545" s="116" t="s">
        <v>15</v>
      </c>
      <c r="C545" s="16" t="s">
        <v>33</v>
      </c>
      <c r="D545" s="24">
        <f>IFERROR(INDEX(Metas!$D$2:$D$104, MATCH(E545,Metas!$E$2:$E$104, 0)), "Não encontrado")</f>
        <v>115</v>
      </c>
      <c r="E545" s="16" t="s">
        <v>45</v>
      </c>
      <c r="F545" s="16" t="s">
        <v>709</v>
      </c>
      <c r="G545" s="62" t="str">
        <f t="shared" ca="1" si="35"/>
        <v>Concluído</v>
      </c>
      <c r="H545" s="158">
        <v>45930</v>
      </c>
      <c r="I545" s="30">
        <v>1</v>
      </c>
      <c r="J545" s="53">
        <f t="shared" si="33"/>
        <v>40.78239608801956</v>
      </c>
      <c r="K545" s="25">
        <v>45777</v>
      </c>
      <c r="L545" s="25">
        <v>45915</v>
      </c>
      <c r="M545" s="26">
        <f t="shared" si="37"/>
        <v>139</v>
      </c>
      <c r="N545" s="69">
        <f>IFERROR(INDEX(Tabela3[ID_Responsavel], MATCH(O545,Tabela3[[Responsáveis ]], 0)), "Não encontrado")</f>
        <v>20</v>
      </c>
      <c r="O545" s="120" t="s">
        <v>38</v>
      </c>
      <c r="P545" s="142" t="s">
        <v>19</v>
      </c>
      <c r="Q545" s="20"/>
    </row>
    <row r="546" spans="1:17" ht="15" hidden="1" customHeight="1">
      <c r="A546" s="122">
        <f>IFERROR(INDEX(Tabela2[ID_Area], MATCH(B546,Tabela2[Area], 0)), "Não encontrado")</f>
        <v>1004</v>
      </c>
      <c r="B546" s="116" t="s">
        <v>15</v>
      </c>
      <c r="C546" s="16" t="s">
        <v>33</v>
      </c>
      <c r="D546" s="24">
        <f>IFERROR(INDEX(Metas!$D$2:$D$104, MATCH(E546,Metas!$E$2:$E$104, 0)), "Não encontrado")</f>
        <v>115</v>
      </c>
      <c r="E546" s="16" t="s">
        <v>45</v>
      </c>
      <c r="F546" s="16" t="s">
        <v>710</v>
      </c>
      <c r="G546" s="62" t="str">
        <f t="shared" ca="1" si="35"/>
        <v>Concluído</v>
      </c>
      <c r="H546" s="158">
        <v>45930</v>
      </c>
      <c r="I546" s="30">
        <v>1</v>
      </c>
      <c r="J546" s="53">
        <f t="shared" si="33"/>
        <v>4.9877750611246938</v>
      </c>
      <c r="K546" s="25">
        <v>45792</v>
      </c>
      <c r="L546" s="25">
        <v>45808</v>
      </c>
      <c r="M546" s="26">
        <f t="shared" si="37"/>
        <v>17</v>
      </c>
      <c r="N546" s="69">
        <f>IFERROR(INDEX(Tabela3[ID_Responsavel], MATCH(O546,Tabela3[[Responsáveis ]], 0)), "Não encontrado")</f>
        <v>20</v>
      </c>
      <c r="O546" s="120" t="s">
        <v>38</v>
      </c>
      <c r="P546" s="142" t="s">
        <v>19</v>
      </c>
      <c r="Q546" s="20"/>
    </row>
    <row r="547" spans="1:17" ht="15" hidden="1" customHeight="1">
      <c r="A547" s="122">
        <f>IFERROR(INDEX(Tabela2[ID_Area], MATCH(B547,Tabela2[Area], 0)), "Não encontrado")</f>
        <v>1004</v>
      </c>
      <c r="B547" s="116" t="s">
        <v>15</v>
      </c>
      <c r="C547" s="16" t="s">
        <v>33</v>
      </c>
      <c r="D547" s="24">
        <f>IFERROR(INDEX(Metas!$D$2:$D$104, MATCH(E547,Metas!$E$2:$E$104, 0)), "Não encontrado")</f>
        <v>115</v>
      </c>
      <c r="E547" s="16" t="s">
        <v>45</v>
      </c>
      <c r="F547" s="16" t="s">
        <v>711</v>
      </c>
      <c r="G547" s="62" t="str">
        <f t="shared" ca="1" si="35"/>
        <v>Concluído</v>
      </c>
      <c r="H547" s="158">
        <v>46010</v>
      </c>
      <c r="I547" s="30">
        <v>1</v>
      </c>
      <c r="J547" s="53">
        <f t="shared" si="33"/>
        <v>33.154034229828852</v>
      </c>
      <c r="K547" s="25">
        <v>45823</v>
      </c>
      <c r="L547" s="25">
        <v>45935</v>
      </c>
      <c r="M547" s="26">
        <f t="shared" si="37"/>
        <v>113</v>
      </c>
      <c r="N547" s="69">
        <f>IFERROR(INDEX(Tabela3[ID_Responsavel], MATCH(O547,Tabela3[[Responsáveis ]], 0)), "Não encontrado")</f>
        <v>20</v>
      </c>
      <c r="O547" s="120" t="s">
        <v>38</v>
      </c>
      <c r="P547" s="142" t="s">
        <v>19</v>
      </c>
      <c r="Q547" s="20"/>
    </row>
    <row r="548" spans="1:17" ht="15" hidden="1" customHeight="1">
      <c r="A548" s="122">
        <f>IFERROR(INDEX(Tabela2[ID_Area], MATCH(B548,Tabela2[Area], 0)), "Não encontrado")</f>
        <v>1004</v>
      </c>
      <c r="B548" s="116" t="s">
        <v>15</v>
      </c>
      <c r="C548" s="16" t="s">
        <v>33</v>
      </c>
      <c r="D548" s="24">
        <f>IFERROR(INDEX(Metas!$D$2:$D$104, MATCH(E548,Metas!$E$2:$E$104, 0)), "Não encontrado")</f>
        <v>115</v>
      </c>
      <c r="E548" s="16" t="s">
        <v>45</v>
      </c>
      <c r="F548" s="16" t="s">
        <v>712</v>
      </c>
      <c r="G548" s="62" t="str">
        <f t="shared" ca="1" si="35"/>
        <v>Concluído</v>
      </c>
      <c r="H548" s="158">
        <v>46010</v>
      </c>
      <c r="I548" s="30">
        <v>1</v>
      </c>
      <c r="J548" s="53">
        <f t="shared" si="33"/>
        <v>1.7603911980440097</v>
      </c>
      <c r="K548" s="25">
        <v>45935</v>
      </c>
      <c r="L548" s="25">
        <v>45940</v>
      </c>
      <c r="M548" s="26">
        <f t="shared" si="37"/>
        <v>6</v>
      </c>
      <c r="N548" s="69">
        <f>IFERROR(INDEX(Tabela3[ID_Responsavel], MATCH(O548,Tabela3[[Responsáveis ]], 0)), "Não encontrado")</f>
        <v>20</v>
      </c>
      <c r="O548" s="120" t="s">
        <v>38</v>
      </c>
      <c r="P548" s="142" t="s">
        <v>19</v>
      </c>
      <c r="Q548" s="20"/>
    </row>
    <row r="549" spans="1:17" ht="15" hidden="1" customHeight="1">
      <c r="A549" s="122">
        <f>IFERROR(INDEX(Tabela2[ID_Area], MATCH(B549,Tabela2[Area], 0)), "Não encontrado")</f>
        <v>1004</v>
      </c>
      <c r="B549" s="116" t="s">
        <v>15</v>
      </c>
      <c r="C549" s="16" t="s">
        <v>33</v>
      </c>
      <c r="D549" s="24">
        <f>IFERROR(INDEX(Metas!$D$2:$D$104, MATCH(E549,Metas!$E$2:$E$104, 0)), "Não encontrado")</f>
        <v>115</v>
      </c>
      <c r="E549" s="16" t="s">
        <v>45</v>
      </c>
      <c r="F549" s="16" t="s">
        <v>713</v>
      </c>
      <c r="G549" s="62" t="str">
        <f t="shared" ca="1" si="35"/>
        <v>Concluído</v>
      </c>
      <c r="H549" s="158">
        <v>46010</v>
      </c>
      <c r="I549" s="30">
        <v>1</v>
      </c>
      <c r="J549" s="53">
        <f t="shared" si="33"/>
        <v>15.256723716381419</v>
      </c>
      <c r="K549" s="25">
        <v>45940</v>
      </c>
      <c r="L549" s="25">
        <v>45991</v>
      </c>
      <c r="M549" s="26">
        <f t="shared" si="37"/>
        <v>52</v>
      </c>
      <c r="N549" s="69">
        <f>IFERROR(INDEX(Tabela3[ID_Responsavel], MATCH(O549,Tabela3[[Responsáveis ]], 0)), "Não encontrado")</f>
        <v>20</v>
      </c>
      <c r="O549" s="120" t="s">
        <v>38</v>
      </c>
      <c r="P549" s="142" t="s">
        <v>19</v>
      </c>
      <c r="Q549" s="20"/>
    </row>
    <row r="550" spans="1:17" ht="15" hidden="1" customHeight="1">
      <c r="A550" s="122">
        <f>IFERROR(INDEX(Tabela2[ID_Area], MATCH(B550,Tabela2[Area], 0)), "Não encontrado")</f>
        <v>1004</v>
      </c>
      <c r="B550" s="116" t="s">
        <v>15</v>
      </c>
      <c r="C550" s="16" t="s">
        <v>33</v>
      </c>
      <c r="D550" s="24">
        <f>IFERROR(INDEX(Metas!$D$2:$D$104, MATCH(E550,Metas!$E$2:$E$104, 0)), "Não encontrado")</f>
        <v>115</v>
      </c>
      <c r="E550" s="16" t="s">
        <v>45</v>
      </c>
      <c r="F550" s="16" t="s">
        <v>714</v>
      </c>
      <c r="G550" s="62" t="str">
        <f t="shared" ca="1" si="35"/>
        <v>Concluído</v>
      </c>
      <c r="H550" s="158">
        <v>46010</v>
      </c>
      <c r="I550" s="30">
        <v>1</v>
      </c>
      <c r="J550" s="53">
        <f t="shared" si="33"/>
        <v>15.256723716381419</v>
      </c>
      <c r="K550" s="25">
        <v>45940</v>
      </c>
      <c r="L550" s="25">
        <v>45991</v>
      </c>
      <c r="M550" s="26">
        <f t="shared" si="37"/>
        <v>52</v>
      </c>
      <c r="N550" s="69">
        <f>IFERROR(INDEX(Tabela3[ID_Responsavel], MATCH(O550,Tabela3[[Responsáveis ]], 0)), "Não encontrado")</f>
        <v>20</v>
      </c>
      <c r="O550" s="120" t="s">
        <v>38</v>
      </c>
      <c r="P550" s="142" t="s">
        <v>19</v>
      </c>
      <c r="Q550" s="20"/>
    </row>
    <row r="551" spans="1:17" ht="15" hidden="1" customHeight="1">
      <c r="A551" s="122">
        <f>IFERROR(INDEX(Tabela2[ID_Area], MATCH(B551,Tabela2[Area], 0)), "Não encontrado")</f>
        <v>1004</v>
      </c>
      <c r="B551" s="116" t="s">
        <v>15</v>
      </c>
      <c r="C551" s="16" t="s">
        <v>16</v>
      </c>
      <c r="D551" s="24">
        <f>IFERROR(INDEX(Metas!$D$2:$D$104, MATCH(E551,Metas!$E$2:$E$104, 0)), "Não encontrado")</f>
        <v>110</v>
      </c>
      <c r="E551" s="16" t="s">
        <v>37</v>
      </c>
      <c r="F551" s="16" t="s">
        <v>663</v>
      </c>
      <c r="G551" s="62" t="str">
        <f t="shared" ca="1" si="35"/>
        <v>Concluído</v>
      </c>
      <c r="H551" s="158">
        <v>45667</v>
      </c>
      <c r="I551" s="30">
        <v>1</v>
      </c>
      <c r="J551" s="53">
        <f t="shared" si="33"/>
        <v>3.3103448275862069</v>
      </c>
      <c r="K551" s="25">
        <v>45659</v>
      </c>
      <c r="L551" s="25">
        <v>45690</v>
      </c>
      <c r="M551" s="26">
        <f t="shared" si="37"/>
        <v>32</v>
      </c>
      <c r="N551" s="69">
        <f>IFERROR(INDEX(Tabela3[ID_Responsavel], MATCH(O551,Tabela3[[Responsáveis ]], 0)), "Não encontrado")</f>
        <v>20</v>
      </c>
      <c r="O551" s="120" t="s">
        <v>38</v>
      </c>
      <c r="P551" s="142" t="s">
        <v>19</v>
      </c>
      <c r="Q551" s="20"/>
    </row>
    <row r="552" spans="1:17" ht="15" hidden="1" customHeight="1">
      <c r="A552" s="122">
        <f>IFERROR(INDEX(Tabela2[ID_Area], MATCH(B552,Tabela2[Area], 0)), "Não encontrado")</f>
        <v>1004</v>
      </c>
      <c r="B552" s="116" t="s">
        <v>15</v>
      </c>
      <c r="C552" s="16" t="s">
        <v>16</v>
      </c>
      <c r="D552" s="24">
        <f>IFERROR(INDEX(Metas!$D$2:$D$104, MATCH(E552,Metas!$E$2:$E$104, 0)), "Não encontrado")</f>
        <v>110</v>
      </c>
      <c r="E552" s="16" t="s">
        <v>37</v>
      </c>
      <c r="F552" s="16" t="s">
        <v>664</v>
      </c>
      <c r="G552" s="62" t="str">
        <f t="shared" ca="1" si="35"/>
        <v>Concluído</v>
      </c>
      <c r="H552" s="158">
        <v>45672</v>
      </c>
      <c r="I552" s="30">
        <v>1</v>
      </c>
      <c r="J552" s="53">
        <f t="shared" si="33"/>
        <v>3.3103448275862069</v>
      </c>
      <c r="K552" s="25">
        <v>45659</v>
      </c>
      <c r="L552" s="25">
        <v>45690</v>
      </c>
      <c r="M552" s="26">
        <f t="shared" si="37"/>
        <v>32</v>
      </c>
      <c r="N552" s="69">
        <f>IFERROR(INDEX(Tabela3[ID_Responsavel], MATCH(O552,Tabela3[[Responsáveis ]], 0)), "Não encontrado")</f>
        <v>20</v>
      </c>
      <c r="O552" s="120" t="s">
        <v>38</v>
      </c>
      <c r="P552" s="142" t="s">
        <v>19</v>
      </c>
      <c r="Q552" s="20"/>
    </row>
    <row r="553" spans="1:17" ht="15" hidden="1" customHeight="1">
      <c r="A553" s="122">
        <f>IFERROR(INDEX(Tabela2[ID_Area], MATCH(B553,Tabela2[Area], 0)), "Não encontrado")</f>
        <v>1004</v>
      </c>
      <c r="B553" s="116" t="s">
        <v>15</v>
      </c>
      <c r="C553" s="16" t="s">
        <v>16</v>
      </c>
      <c r="D553" s="24">
        <f>IFERROR(INDEX(Metas!$D$2:$D$104, MATCH(E553,Metas!$E$2:$E$104, 0)), "Não encontrado")</f>
        <v>110</v>
      </c>
      <c r="E553" s="16" t="s">
        <v>37</v>
      </c>
      <c r="F553" s="16" t="s">
        <v>665</v>
      </c>
      <c r="G553" s="62" t="str">
        <f t="shared" ca="1" si="35"/>
        <v>Concluído</v>
      </c>
      <c r="H553" s="158">
        <v>45698</v>
      </c>
      <c r="I553" s="30">
        <v>1</v>
      </c>
      <c r="J553" s="53">
        <f t="shared" si="33"/>
        <v>3.827586206896552</v>
      </c>
      <c r="K553" s="25">
        <v>45672</v>
      </c>
      <c r="L553" s="25">
        <v>45708</v>
      </c>
      <c r="M553" s="26">
        <f t="shared" si="37"/>
        <v>37</v>
      </c>
      <c r="N553" s="69">
        <f>IFERROR(INDEX(Tabela3[ID_Responsavel], MATCH(O553,Tabela3[[Responsáveis ]], 0)), "Não encontrado")</f>
        <v>20</v>
      </c>
      <c r="O553" s="120" t="s">
        <v>38</v>
      </c>
      <c r="P553" s="142" t="s">
        <v>19</v>
      </c>
      <c r="Q553" s="20"/>
    </row>
    <row r="554" spans="1:17" ht="15" hidden="1" customHeight="1">
      <c r="A554" s="122">
        <f>IFERROR(INDEX(Tabela2[ID_Area], MATCH(B554,Tabela2[Area], 0)), "Não encontrado")</f>
        <v>1004</v>
      </c>
      <c r="B554" s="116" t="s">
        <v>15</v>
      </c>
      <c r="C554" s="16" t="s">
        <v>16</v>
      </c>
      <c r="D554" s="24">
        <f>IFERROR(INDEX(Metas!$D$2:$D$104, MATCH(E554,Metas!$E$2:$E$104, 0)), "Não encontrado")</f>
        <v>110</v>
      </c>
      <c r="E554" s="16" t="s">
        <v>37</v>
      </c>
      <c r="F554" s="16" t="s">
        <v>666</v>
      </c>
      <c r="G554" s="62" t="str">
        <f t="shared" ca="1" si="35"/>
        <v>Concluído</v>
      </c>
      <c r="H554" s="158">
        <v>45711</v>
      </c>
      <c r="I554" s="30">
        <v>1</v>
      </c>
      <c r="J554" s="53">
        <f t="shared" si="33"/>
        <v>5.5862068965517242</v>
      </c>
      <c r="K554" s="25">
        <v>45659</v>
      </c>
      <c r="L554" s="25">
        <v>45712</v>
      </c>
      <c r="M554" s="26">
        <f t="shared" si="37"/>
        <v>54</v>
      </c>
      <c r="N554" s="69">
        <f>IFERROR(INDEX(Tabela3[ID_Responsavel], MATCH(O554,Tabela3[[Responsáveis ]], 0)), "Não encontrado")</f>
        <v>20</v>
      </c>
      <c r="O554" s="120" t="s">
        <v>38</v>
      </c>
      <c r="P554" s="142" t="s">
        <v>19</v>
      </c>
      <c r="Q554" s="20"/>
    </row>
    <row r="555" spans="1:17" ht="15" hidden="1" customHeight="1">
      <c r="A555" s="122">
        <f>IFERROR(INDEX(Tabela2[ID_Area], MATCH(B555,Tabela2[Area], 0)), "Não encontrado")</f>
        <v>1004</v>
      </c>
      <c r="B555" s="116" t="s">
        <v>15</v>
      </c>
      <c r="C555" s="16" t="s">
        <v>16</v>
      </c>
      <c r="D555" s="24">
        <f>IFERROR(INDEX(Metas!$D$2:$D$104, MATCH(E555,Metas!$E$2:$E$104, 0)), "Não encontrado")</f>
        <v>110</v>
      </c>
      <c r="E555" s="16" t="s">
        <v>37</v>
      </c>
      <c r="F555" s="16" t="s">
        <v>667</v>
      </c>
      <c r="G555" s="62" t="str">
        <f t="shared" ca="1" si="35"/>
        <v>Concluído</v>
      </c>
      <c r="H555" s="158">
        <v>45715</v>
      </c>
      <c r="I555" s="30">
        <v>1</v>
      </c>
      <c r="J555" s="53">
        <f t="shared" si="33"/>
        <v>6</v>
      </c>
      <c r="K555" s="25">
        <v>45659</v>
      </c>
      <c r="L555" s="25">
        <v>45716</v>
      </c>
      <c r="M555" s="26">
        <f t="shared" si="37"/>
        <v>58</v>
      </c>
      <c r="N555" s="69">
        <f>IFERROR(INDEX(Tabela3[ID_Responsavel], MATCH(O555,Tabela3[[Responsáveis ]], 0)), "Não encontrado")</f>
        <v>20</v>
      </c>
      <c r="O555" s="120" t="s">
        <v>38</v>
      </c>
      <c r="P555" s="142" t="s">
        <v>19</v>
      </c>
      <c r="Q555" s="20"/>
    </row>
    <row r="556" spans="1:17" ht="15" hidden="1" customHeight="1">
      <c r="A556" s="122">
        <f>IFERROR(INDEX(Tabela2[ID_Area], MATCH(B556,Tabela2[Area], 0)), "Não encontrado")</f>
        <v>1004</v>
      </c>
      <c r="B556" s="116" t="s">
        <v>15</v>
      </c>
      <c r="C556" s="16" t="s">
        <v>16</v>
      </c>
      <c r="D556" s="24">
        <f>IFERROR(INDEX(Metas!$D$2:$D$104, MATCH(E556,Metas!$E$2:$E$104, 0)), "Não encontrado")</f>
        <v>110</v>
      </c>
      <c r="E556" s="16" t="s">
        <v>37</v>
      </c>
      <c r="F556" s="16" t="s">
        <v>668</v>
      </c>
      <c r="G556" s="62" t="str">
        <f t="shared" ca="1" si="35"/>
        <v>Concluído</v>
      </c>
      <c r="H556" s="158">
        <v>45980</v>
      </c>
      <c r="I556" s="30">
        <v>1</v>
      </c>
      <c r="J556" s="53">
        <f t="shared" si="33"/>
        <v>35.275862068965516</v>
      </c>
      <c r="K556" s="25">
        <v>45682</v>
      </c>
      <c r="L556" s="25">
        <v>46022</v>
      </c>
      <c r="M556" s="26">
        <f t="shared" si="37"/>
        <v>341</v>
      </c>
      <c r="N556" s="69">
        <f>IFERROR(INDEX(Tabela3[ID_Responsavel], MATCH(O556,Tabela3[[Responsáveis ]], 0)), "Não encontrado")</f>
        <v>20</v>
      </c>
      <c r="O556" s="120" t="s">
        <v>38</v>
      </c>
      <c r="P556" s="142" t="s">
        <v>19</v>
      </c>
      <c r="Q556" s="20"/>
    </row>
    <row r="557" spans="1:17" ht="15" hidden="1" customHeight="1">
      <c r="A557" s="122">
        <f>IFERROR(INDEX(Tabela2[ID_Area], MATCH(B557,Tabela2[Area], 0)), "Não encontrado")</f>
        <v>1004</v>
      </c>
      <c r="B557" s="116" t="s">
        <v>15</v>
      </c>
      <c r="C557" s="16" t="s">
        <v>16</v>
      </c>
      <c r="D557" s="24">
        <f>IFERROR(INDEX(Metas!$D$2:$D$104, MATCH(E557,Metas!$E$2:$E$104, 0)), "Não encontrado")</f>
        <v>110</v>
      </c>
      <c r="E557" s="16" t="s">
        <v>37</v>
      </c>
      <c r="F557" s="16" t="s">
        <v>669</v>
      </c>
      <c r="G557" s="62" t="str">
        <f t="shared" ca="1" si="35"/>
        <v>Concluído</v>
      </c>
      <c r="H557" s="158">
        <v>45680</v>
      </c>
      <c r="I557" s="30">
        <v>1</v>
      </c>
      <c r="J557" s="53">
        <f t="shared" si="33"/>
        <v>9.6206896551724128</v>
      </c>
      <c r="K557" s="25">
        <v>45659</v>
      </c>
      <c r="L557" s="25">
        <v>45751</v>
      </c>
      <c r="M557" s="26">
        <f t="shared" si="37"/>
        <v>93</v>
      </c>
      <c r="N557" s="69">
        <f>IFERROR(INDEX(Tabela3[ID_Responsavel], MATCH(O557,Tabela3[[Responsáveis ]], 0)), "Não encontrado")</f>
        <v>20</v>
      </c>
      <c r="O557" s="120" t="s">
        <v>38</v>
      </c>
      <c r="P557" s="142" t="s">
        <v>19</v>
      </c>
      <c r="Q557" s="20"/>
    </row>
    <row r="558" spans="1:17" ht="15" hidden="1" customHeight="1">
      <c r="A558" s="122">
        <f>IFERROR(INDEX(Tabela2[ID_Area], MATCH(B558,Tabela2[Area], 0)), "Não encontrado")</f>
        <v>1004</v>
      </c>
      <c r="B558" s="116" t="s">
        <v>15</v>
      </c>
      <c r="C558" s="16" t="s">
        <v>16</v>
      </c>
      <c r="D558" s="24">
        <f>IFERROR(INDEX(Metas!$D$2:$D$104, MATCH(E558,Metas!$E$2:$E$104, 0)), "Não encontrado")</f>
        <v>110</v>
      </c>
      <c r="E558" s="16" t="s">
        <v>37</v>
      </c>
      <c r="F558" s="16" t="s">
        <v>670</v>
      </c>
      <c r="G558" s="62" t="str">
        <f t="shared" ca="1" si="35"/>
        <v>Concluído</v>
      </c>
      <c r="H558" s="158">
        <v>45680</v>
      </c>
      <c r="I558" s="30">
        <v>1</v>
      </c>
      <c r="J558" s="53">
        <f t="shared" si="33"/>
        <v>6.3103448275862073</v>
      </c>
      <c r="K558" s="25">
        <v>45659</v>
      </c>
      <c r="L558" s="25">
        <v>45719</v>
      </c>
      <c r="M558" s="26">
        <f t="shared" si="37"/>
        <v>61</v>
      </c>
      <c r="N558" s="69">
        <f>IFERROR(INDEX(Tabela3[ID_Responsavel], MATCH(O558,Tabela3[[Responsáveis ]], 0)), "Não encontrado")</f>
        <v>20</v>
      </c>
      <c r="O558" s="120" t="s">
        <v>38</v>
      </c>
      <c r="P558" s="142" t="s">
        <v>19</v>
      </c>
      <c r="Q558" s="20"/>
    </row>
    <row r="559" spans="1:17" ht="15" hidden="1" customHeight="1">
      <c r="A559" s="122">
        <f>IFERROR(INDEX(Tabela2[ID_Area], MATCH(B559,Tabela2[Area], 0)), "Não encontrado")</f>
        <v>1004</v>
      </c>
      <c r="B559" s="116" t="s">
        <v>15</v>
      </c>
      <c r="C559" s="16" t="s">
        <v>16</v>
      </c>
      <c r="D559" s="24">
        <f>IFERROR(INDEX(Metas!$D$2:$D$104, MATCH(E559,Metas!$E$2:$E$104, 0)), "Não encontrado")</f>
        <v>110</v>
      </c>
      <c r="E559" s="16" t="s">
        <v>37</v>
      </c>
      <c r="F559" s="16" t="s">
        <v>671</v>
      </c>
      <c r="G559" s="62" t="str">
        <f t="shared" ca="1" si="35"/>
        <v>Concluído</v>
      </c>
      <c r="H559" s="158">
        <v>45687</v>
      </c>
      <c r="I559" s="30">
        <v>1</v>
      </c>
      <c r="J559" s="53">
        <f t="shared" si="33"/>
        <v>3.3103448275862069</v>
      </c>
      <c r="K559" s="25">
        <v>45720</v>
      </c>
      <c r="L559" s="25">
        <v>45751</v>
      </c>
      <c r="M559" s="26">
        <f t="shared" si="37"/>
        <v>32</v>
      </c>
      <c r="N559" s="69">
        <f>IFERROR(INDEX(Tabela3[ID_Responsavel], MATCH(O559,Tabela3[[Responsáveis ]], 0)), "Não encontrado")</f>
        <v>20</v>
      </c>
      <c r="O559" s="120" t="s">
        <v>38</v>
      </c>
      <c r="P559" s="142" t="s">
        <v>19</v>
      </c>
      <c r="Q559" s="20"/>
    </row>
    <row r="560" spans="1:17" ht="15" hidden="1" customHeight="1">
      <c r="A560" s="122">
        <f>IFERROR(INDEX(Tabela2[ID_Area], MATCH(B560,Tabela2[Area], 0)), "Não encontrado")</f>
        <v>1004</v>
      </c>
      <c r="B560" s="116" t="s">
        <v>15</v>
      </c>
      <c r="C560" s="16" t="s">
        <v>16</v>
      </c>
      <c r="D560" s="24">
        <f>IFERROR(INDEX(Metas!$D$2:$D$104, MATCH(E560,Metas!$E$2:$E$104, 0)), "Não encontrado")</f>
        <v>110</v>
      </c>
      <c r="E560" s="16" t="s">
        <v>37</v>
      </c>
      <c r="F560" s="16" t="s">
        <v>672</v>
      </c>
      <c r="G560" s="62" t="str">
        <f t="shared" ca="1" si="35"/>
        <v>Concluído</v>
      </c>
      <c r="H560" s="158">
        <v>45852</v>
      </c>
      <c r="I560" s="30">
        <v>1</v>
      </c>
      <c r="J560" s="53">
        <f t="shared" si="33"/>
        <v>21.724137931034484</v>
      </c>
      <c r="K560" s="25">
        <v>45659</v>
      </c>
      <c r="L560" s="25">
        <v>45868</v>
      </c>
      <c r="M560" s="26">
        <f t="shared" si="37"/>
        <v>210</v>
      </c>
      <c r="N560" s="69">
        <f>IFERROR(INDEX(Tabela3[ID_Responsavel], MATCH(O560,Tabela3[[Responsáveis ]], 0)), "Não encontrado")</f>
        <v>20</v>
      </c>
      <c r="O560" s="120" t="s">
        <v>38</v>
      </c>
      <c r="P560" s="142" t="s">
        <v>19</v>
      </c>
      <c r="Q560" s="20"/>
    </row>
    <row r="561" spans="1:17" ht="15" hidden="1" customHeight="1">
      <c r="A561" s="122">
        <f>IFERROR(INDEX(Tabela2[ID_Area], MATCH(B561,Tabela2[Area], 0)), "Não encontrado")</f>
        <v>1004</v>
      </c>
      <c r="B561" s="116" t="s">
        <v>15</v>
      </c>
      <c r="C561" s="23" t="s">
        <v>16</v>
      </c>
      <c r="D561" s="24">
        <f>IFERROR(INDEX(Metas!$D$2:$D$104, MATCH(E561,Metas!$E$2:$E$104, 0)), "Não encontrado")</f>
        <v>110</v>
      </c>
      <c r="E561" s="16" t="s">
        <v>37</v>
      </c>
      <c r="F561" s="23" t="s">
        <v>673</v>
      </c>
      <c r="G561" s="62" t="str">
        <f t="shared" ca="1" si="35"/>
        <v>Concluído</v>
      </c>
      <c r="H561" s="159">
        <v>45733</v>
      </c>
      <c r="I561" s="118">
        <v>1</v>
      </c>
      <c r="J561" s="53">
        <f t="shared" si="33"/>
        <v>8.068965517241379</v>
      </c>
      <c r="K561" s="25">
        <v>45659</v>
      </c>
      <c r="L561" s="25">
        <v>45736</v>
      </c>
      <c r="M561" s="26">
        <f t="shared" si="37"/>
        <v>78</v>
      </c>
      <c r="N561" s="69">
        <f>IFERROR(INDEX(Tabela3[ID_Responsavel], MATCH(O561,Tabela3[[Responsáveis ]], 0)), "Não encontrado")</f>
        <v>20</v>
      </c>
      <c r="O561" s="121" t="s">
        <v>38</v>
      </c>
      <c r="P561" s="142" t="s">
        <v>19</v>
      </c>
      <c r="Q561" s="27"/>
    </row>
    <row r="562" spans="1:17" ht="15" hidden="1" customHeight="1">
      <c r="A562" s="122">
        <f>IFERROR(INDEX(Tabela2[ID_Area], MATCH(B562,Tabela2[Area], 0)), "Não encontrado")</f>
        <v>1004</v>
      </c>
      <c r="B562" s="116" t="s">
        <v>15</v>
      </c>
      <c r="C562" s="23" t="s">
        <v>16</v>
      </c>
      <c r="D562" s="24">
        <f>IFERROR(INDEX(Metas!$D$2:$D$104, MATCH(E562,Metas!$E$2:$E$104, 0)), "Não encontrado")</f>
        <v>110</v>
      </c>
      <c r="E562" s="23" t="s">
        <v>37</v>
      </c>
      <c r="F562" s="23" t="s">
        <v>668</v>
      </c>
      <c r="G562" s="62" t="str">
        <f t="shared" ca="1" si="35"/>
        <v>Concluído</v>
      </c>
      <c r="H562" s="159">
        <v>45851</v>
      </c>
      <c r="I562" s="118">
        <v>1</v>
      </c>
      <c r="J562" s="53">
        <f t="shared" si="33"/>
        <v>13.655172413793103</v>
      </c>
      <c r="K562" s="25">
        <v>45737</v>
      </c>
      <c r="L562" s="25">
        <v>45868</v>
      </c>
      <c r="M562" s="26">
        <f t="shared" si="37"/>
        <v>132</v>
      </c>
      <c r="N562" s="36">
        <f>IFERROR(INDEX(Tabela3[ID_Responsavel], MATCH(O562,Tabela3[[Responsáveis ]], 0)), "Não encontrado")</f>
        <v>20</v>
      </c>
      <c r="O562" s="121" t="s">
        <v>38</v>
      </c>
      <c r="P562" s="138" t="s">
        <v>19</v>
      </c>
      <c r="Q562" s="27"/>
    </row>
    <row r="563" spans="1:17" ht="15" hidden="1" customHeight="1">
      <c r="A563" s="179">
        <f>IFERROR(INDEX(Tabela2[ID_Area], MATCH(B563,Tabela2[Area], 0)), "Não encontrado")</f>
        <v>1003</v>
      </c>
      <c r="B563" s="116" t="s">
        <v>92</v>
      </c>
      <c r="C563" s="23" t="s">
        <v>516</v>
      </c>
      <c r="D563" s="24">
        <f>IFERROR(INDEX(Metas!$D$2:$D$109, MATCH(E563,Metas!$E$2:$E$109, 0)), "Não encontrado")</f>
        <v>187</v>
      </c>
      <c r="E563" s="23" t="s">
        <v>163</v>
      </c>
      <c r="F563" s="185" t="s">
        <v>558</v>
      </c>
      <c r="G563" s="62" t="str">
        <f t="shared" ca="1" si="35"/>
        <v>Concluído</v>
      </c>
      <c r="H563" s="159">
        <v>45695</v>
      </c>
      <c r="I563" s="118">
        <v>1</v>
      </c>
      <c r="J563" s="53">
        <f t="shared" ref="J563:J598" si="38">IFERROR( M563 / SUMIFS($M:$M, $E:$E, $E563, $O:$O, $O563) * 120, 0 )</f>
        <v>2.867924528301887</v>
      </c>
      <c r="K563" s="25">
        <v>45658</v>
      </c>
      <c r="L563" s="25">
        <v>45695</v>
      </c>
      <c r="M563" s="26">
        <f xml:space="preserve"> L563 - K563 + 1</f>
        <v>38</v>
      </c>
      <c r="N563" s="69">
        <f>IFERROR(INDEX(Tabela3[ID_Responsavel], MATCH(O563,Tabela3[[Responsáveis ]], 0)), "Não encontrado")</f>
        <v>28</v>
      </c>
      <c r="O563" s="180" t="s">
        <v>186</v>
      </c>
      <c r="P563" s="187" t="s">
        <v>48</v>
      </c>
      <c r="Q563" s="27" t="s">
        <v>559</v>
      </c>
    </row>
    <row r="564" spans="1:17" ht="15" hidden="1" customHeight="1">
      <c r="A564" s="179">
        <f>IFERROR(INDEX(Tabela2[ID_Area], MATCH(B564,Tabela2[Area], 0)), "Não encontrado")</f>
        <v>1003</v>
      </c>
      <c r="B564" s="116" t="s">
        <v>92</v>
      </c>
      <c r="C564" s="23" t="s">
        <v>516</v>
      </c>
      <c r="D564" s="24">
        <f>IFERROR(INDEX(Metas!$D$2:$D$109, MATCH(E564,Metas!$E$2:$E$109, 0)), "Não encontrado")</f>
        <v>187</v>
      </c>
      <c r="E564" s="23" t="s">
        <v>163</v>
      </c>
      <c r="F564" s="185" t="s">
        <v>560</v>
      </c>
      <c r="G564" s="62" t="str">
        <f t="shared" ca="1" si="35"/>
        <v>Concluído</v>
      </c>
      <c r="H564" s="159">
        <v>45695</v>
      </c>
      <c r="I564" s="118">
        <v>1</v>
      </c>
      <c r="J564" s="53">
        <f t="shared" si="38"/>
        <v>2.2641509433962264</v>
      </c>
      <c r="K564" s="25">
        <v>45658</v>
      </c>
      <c r="L564" s="25">
        <v>45687</v>
      </c>
      <c r="M564" s="26">
        <f t="shared" ref="M564:M583" si="39" xml:space="preserve"> L564 - K564 + 1</f>
        <v>30</v>
      </c>
      <c r="N564" s="69">
        <f>IFERROR(INDEX(Tabela3[ID_Responsavel], MATCH(O564,Tabela3[[Responsáveis ]], 0)), "Não encontrado")</f>
        <v>28</v>
      </c>
      <c r="O564" s="180" t="s">
        <v>186</v>
      </c>
      <c r="P564" s="187" t="s">
        <v>48</v>
      </c>
      <c r="Q564" s="27" t="s">
        <v>561</v>
      </c>
    </row>
    <row r="565" spans="1:17" ht="15" hidden="1" customHeight="1">
      <c r="A565" s="179">
        <f>IFERROR(INDEX(Tabela2[ID_Area], MATCH(B565,Tabela2[Area], 0)), "Não encontrado")</f>
        <v>1003</v>
      </c>
      <c r="B565" s="116" t="s">
        <v>92</v>
      </c>
      <c r="C565" s="23" t="s">
        <v>516</v>
      </c>
      <c r="D565" s="24">
        <f>IFERROR(INDEX(Metas!$D$2:$D$109, MATCH(E565,Metas!$E$2:$E$109, 0)), "Não encontrado")</f>
        <v>187</v>
      </c>
      <c r="E565" s="23" t="s">
        <v>163</v>
      </c>
      <c r="F565" s="185" t="s">
        <v>562</v>
      </c>
      <c r="G565" s="62" t="str">
        <f t="shared" ca="1" si="35"/>
        <v>Concluído</v>
      </c>
      <c r="H565" s="159">
        <v>45695</v>
      </c>
      <c r="I565" s="118">
        <v>1</v>
      </c>
      <c r="J565" s="53">
        <f t="shared" si="38"/>
        <v>2.3396226415094339</v>
      </c>
      <c r="K565" s="25">
        <v>45658</v>
      </c>
      <c r="L565" s="25">
        <v>45688</v>
      </c>
      <c r="M565" s="26">
        <f t="shared" si="39"/>
        <v>31</v>
      </c>
      <c r="N565" s="69">
        <f>IFERROR(INDEX(Tabela3[ID_Responsavel], MATCH(O565,Tabela3[[Responsáveis ]], 0)), "Não encontrado")</f>
        <v>28</v>
      </c>
      <c r="O565" s="180" t="s">
        <v>186</v>
      </c>
      <c r="P565" s="187" t="s">
        <v>48</v>
      </c>
      <c r="Q565" s="27" t="s">
        <v>563</v>
      </c>
    </row>
    <row r="566" spans="1:17" ht="15" hidden="1" customHeight="1">
      <c r="A566" s="179">
        <f>IFERROR(INDEX(Tabela2[ID_Area], MATCH(B566,Tabela2[Area], 0)), "Não encontrado")</f>
        <v>1003</v>
      </c>
      <c r="B566" s="116" t="s">
        <v>92</v>
      </c>
      <c r="C566" s="23" t="s">
        <v>516</v>
      </c>
      <c r="D566" s="24">
        <f>IFERROR(INDEX(Metas!$D$2:$D$109, MATCH(E566,Metas!$E$2:$E$109, 0)), "Não encontrado")</f>
        <v>187</v>
      </c>
      <c r="E566" s="23" t="s">
        <v>163</v>
      </c>
      <c r="F566" s="185" t="s">
        <v>564</v>
      </c>
      <c r="G566" s="62" t="str">
        <f t="shared" ca="1" si="35"/>
        <v>Concluído</v>
      </c>
      <c r="H566" s="159">
        <v>46008</v>
      </c>
      <c r="I566" s="118">
        <v>1</v>
      </c>
      <c r="J566" s="53">
        <f t="shared" si="38"/>
        <v>27.547169811320757</v>
      </c>
      <c r="K566" s="25">
        <v>45658</v>
      </c>
      <c r="L566" s="25">
        <v>46022</v>
      </c>
      <c r="M566" s="26">
        <f t="shared" si="39"/>
        <v>365</v>
      </c>
      <c r="N566" s="69">
        <f>IFERROR(INDEX(Tabela3[ID_Responsavel], MATCH(O566,Tabela3[[Responsáveis ]], 0)), "Não encontrado")</f>
        <v>28</v>
      </c>
      <c r="O566" s="180" t="s">
        <v>186</v>
      </c>
      <c r="P566" s="187" t="s">
        <v>48</v>
      </c>
      <c r="Q566" s="27" t="s">
        <v>773</v>
      </c>
    </row>
    <row r="567" spans="1:17" ht="15" hidden="1" customHeight="1">
      <c r="A567" s="179">
        <f>IFERROR(INDEX(Tabela2[ID_Area], MATCH(B567,Tabela2[Area], 0)), "Não encontrado")</f>
        <v>1003</v>
      </c>
      <c r="B567" s="116" t="s">
        <v>92</v>
      </c>
      <c r="C567" s="23" t="s">
        <v>516</v>
      </c>
      <c r="D567" s="24">
        <f>IFERROR(INDEX(Metas!$D$2:$D$109, MATCH(E567,Metas!$E$2:$E$109, 0)), "Não encontrado")</f>
        <v>187</v>
      </c>
      <c r="E567" s="23" t="s">
        <v>163</v>
      </c>
      <c r="F567" s="185" t="s">
        <v>566</v>
      </c>
      <c r="G567" s="62" t="str">
        <f t="shared" ca="1" si="35"/>
        <v>Concluído</v>
      </c>
      <c r="H567" s="159">
        <v>46008</v>
      </c>
      <c r="I567" s="118">
        <v>1</v>
      </c>
      <c r="J567" s="53">
        <f t="shared" si="38"/>
        <v>27.547169811320757</v>
      </c>
      <c r="K567" s="25">
        <v>45658</v>
      </c>
      <c r="L567" s="25">
        <v>46022</v>
      </c>
      <c r="M567" s="26">
        <f t="shared" si="39"/>
        <v>365</v>
      </c>
      <c r="N567" s="69">
        <f>IFERROR(INDEX(Tabela3[ID_Responsavel], MATCH(O567,Tabela3[[Responsáveis ]], 0)), "Não encontrado")</f>
        <v>28</v>
      </c>
      <c r="O567" s="180" t="s">
        <v>186</v>
      </c>
      <c r="P567" s="187" t="s">
        <v>48</v>
      </c>
      <c r="Q567" s="27" t="s">
        <v>774</v>
      </c>
    </row>
    <row r="568" spans="1:17" ht="15" hidden="1" customHeight="1">
      <c r="A568" s="179">
        <f>IFERROR(INDEX(Tabela2[ID_Area], MATCH(B568,Tabela2[Area], 0)), "Não encontrado")</f>
        <v>1003</v>
      </c>
      <c r="B568" s="116" t="s">
        <v>92</v>
      </c>
      <c r="C568" s="23" t="s">
        <v>516</v>
      </c>
      <c r="D568" s="24">
        <f>IFERROR(INDEX(Metas!$D$2:$D$109, MATCH(E568,Metas!$E$2:$E$109, 0)), "Não encontrado")</f>
        <v>187</v>
      </c>
      <c r="E568" s="23" t="s">
        <v>163</v>
      </c>
      <c r="F568" s="185" t="s">
        <v>567</v>
      </c>
      <c r="G568" s="62" t="str">
        <f t="shared" ca="1" si="35"/>
        <v>Concluído</v>
      </c>
      <c r="H568" s="159">
        <v>46008</v>
      </c>
      <c r="I568" s="118">
        <v>1</v>
      </c>
      <c r="J568" s="53">
        <f t="shared" si="38"/>
        <v>27.547169811320757</v>
      </c>
      <c r="K568" s="25">
        <v>45658</v>
      </c>
      <c r="L568" s="25">
        <v>46022</v>
      </c>
      <c r="M568" s="26">
        <f t="shared" si="39"/>
        <v>365</v>
      </c>
      <c r="N568" s="69">
        <f>IFERROR(INDEX(Tabela3[ID_Responsavel], MATCH(O568,Tabela3[[Responsáveis ]], 0)), "Não encontrado")</f>
        <v>28</v>
      </c>
      <c r="O568" s="180" t="s">
        <v>186</v>
      </c>
      <c r="P568" s="187" t="s">
        <v>48</v>
      </c>
      <c r="Q568" s="27" t="s">
        <v>775</v>
      </c>
    </row>
    <row r="569" spans="1:17" ht="15" hidden="1" customHeight="1">
      <c r="A569" s="179">
        <f>IFERROR(INDEX(Tabela2[ID_Area], MATCH(B569,Tabela2[Area], 0)), "Não encontrado")</f>
        <v>1003</v>
      </c>
      <c r="B569" s="116" t="s">
        <v>92</v>
      </c>
      <c r="C569" s="23" t="s">
        <v>516</v>
      </c>
      <c r="D569" s="24">
        <f>IFERROR(INDEX(Metas!$D$2:$D$109, MATCH(E569,Metas!$E$2:$E$109, 0)), "Não encontrado")</f>
        <v>187</v>
      </c>
      <c r="E569" s="23" t="s">
        <v>163</v>
      </c>
      <c r="F569" s="185" t="s">
        <v>569</v>
      </c>
      <c r="G569" s="62" t="str">
        <f t="shared" ca="1" si="35"/>
        <v>Concluído</v>
      </c>
      <c r="H569" s="159">
        <v>46008</v>
      </c>
      <c r="I569" s="118">
        <v>1</v>
      </c>
      <c r="J569" s="53">
        <f t="shared" si="38"/>
        <v>27.547169811320757</v>
      </c>
      <c r="K569" s="25">
        <v>45658</v>
      </c>
      <c r="L569" s="25">
        <v>46022</v>
      </c>
      <c r="M569" s="26">
        <f t="shared" si="39"/>
        <v>365</v>
      </c>
      <c r="N569" s="69">
        <f>IFERROR(INDEX(Tabela3[ID_Responsavel], MATCH(O569,Tabela3[[Responsáveis ]], 0)), "Não encontrado")</f>
        <v>28</v>
      </c>
      <c r="O569" s="180" t="s">
        <v>186</v>
      </c>
      <c r="P569" s="187" t="s">
        <v>48</v>
      </c>
      <c r="Q569" s="27" t="s">
        <v>776</v>
      </c>
    </row>
    <row r="570" spans="1:17" ht="15" hidden="1" customHeight="1">
      <c r="A570" s="179">
        <f>IFERROR(INDEX(Tabela2[ID_Area], MATCH(B570,Tabela2[Area], 0)), "Não encontrado")</f>
        <v>1003</v>
      </c>
      <c r="B570" s="116" t="s">
        <v>92</v>
      </c>
      <c r="C570" s="23" t="s">
        <v>516</v>
      </c>
      <c r="D570" s="24">
        <f>IFERROR(INDEX(Metas!$D$2:$D$109, MATCH(E570,Metas!$E$2:$E$109, 0)), "Não encontrado")</f>
        <v>187</v>
      </c>
      <c r="E570" s="23" t="s">
        <v>163</v>
      </c>
      <c r="F570" s="185" t="s">
        <v>571</v>
      </c>
      <c r="G570" s="62" t="str">
        <f t="shared" ca="1" si="35"/>
        <v>Concluído</v>
      </c>
      <c r="H570" s="159">
        <v>46008</v>
      </c>
      <c r="I570" s="118">
        <v>1</v>
      </c>
      <c r="J570" s="53">
        <f t="shared" si="38"/>
        <v>2.3396226415094339</v>
      </c>
      <c r="K570" s="25">
        <v>45992</v>
      </c>
      <c r="L570" s="25">
        <v>46022</v>
      </c>
      <c r="M570" s="26">
        <f t="shared" si="39"/>
        <v>31</v>
      </c>
      <c r="N570" s="69">
        <f>IFERROR(INDEX(Tabela3[ID_Responsavel], MATCH(O570,Tabela3[[Responsáveis ]], 0)), "Não encontrado")</f>
        <v>28</v>
      </c>
      <c r="O570" s="180" t="s">
        <v>186</v>
      </c>
      <c r="P570" s="187" t="s">
        <v>48</v>
      </c>
      <c r="Q570" s="27" t="s">
        <v>777</v>
      </c>
    </row>
    <row r="571" spans="1:17" ht="15" hidden="1" customHeight="1">
      <c r="A571" s="179">
        <f>IFERROR(INDEX(Tabela2[ID_Area], MATCH(B571,Tabela2[Area], 0)), "Não encontrado")</f>
        <v>1003</v>
      </c>
      <c r="B571" s="116" t="s">
        <v>92</v>
      </c>
      <c r="C571" s="23" t="s">
        <v>55</v>
      </c>
      <c r="D571" s="24">
        <f>IFERROR(INDEX(Metas!$D$2:$D$109, MATCH(E571,Metas!$E$2:$E$109, 0)), "Não encontrado")</f>
        <v>204</v>
      </c>
      <c r="E571" s="23" t="s">
        <v>187</v>
      </c>
      <c r="F571" s="185" t="s">
        <v>778</v>
      </c>
      <c r="G571" s="62" t="str">
        <f t="shared" ca="1" si="35"/>
        <v>Concluído</v>
      </c>
      <c r="H571" s="159">
        <v>45695</v>
      </c>
      <c r="I571" s="118">
        <v>1</v>
      </c>
      <c r="J571" s="53">
        <f t="shared" si="38"/>
        <v>18.921161825726141</v>
      </c>
      <c r="K571" s="25">
        <v>45658</v>
      </c>
      <c r="L571" s="25">
        <v>45695</v>
      </c>
      <c r="M571" s="26">
        <f t="shared" si="39"/>
        <v>38</v>
      </c>
      <c r="N571" s="69">
        <f>IFERROR(INDEX(Tabela3[ID_Responsavel], MATCH(O571,Tabela3[[Responsáveis ]], 0)), "Não encontrado")</f>
        <v>28</v>
      </c>
      <c r="O571" s="186" t="s">
        <v>186</v>
      </c>
      <c r="P571" s="187" t="s">
        <v>48</v>
      </c>
      <c r="Q571" s="27" t="s">
        <v>779</v>
      </c>
    </row>
    <row r="572" spans="1:17" ht="15" hidden="1" customHeight="1">
      <c r="A572" s="179">
        <f>IFERROR(INDEX(Tabela2[ID_Area], MATCH(B572,Tabela2[Area], 0)), "Não encontrado")</f>
        <v>1003</v>
      </c>
      <c r="B572" s="116" t="s">
        <v>92</v>
      </c>
      <c r="C572" s="23" t="s">
        <v>55</v>
      </c>
      <c r="D572" s="24">
        <f>IFERROR(INDEX(Metas!$D$2:$D$109, MATCH(E572,Metas!$E$2:$E$109, 0)), "Não encontrado")</f>
        <v>204</v>
      </c>
      <c r="E572" s="23" t="s">
        <v>187</v>
      </c>
      <c r="F572" s="185" t="s">
        <v>780</v>
      </c>
      <c r="G572" s="62" t="str">
        <f t="shared" ca="1" si="35"/>
        <v>Concluído</v>
      </c>
      <c r="H572" s="159">
        <v>45695</v>
      </c>
      <c r="I572" s="118">
        <v>1</v>
      </c>
      <c r="J572" s="53">
        <f t="shared" si="38"/>
        <v>12.448132780082988</v>
      </c>
      <c r="K572" s="25">
        <v>45664</v>
      </c>
      <c r="L572" s="25">
        <v>45688</v>
      </c>
      <c r="M572" s="26">
        <f t="shared" si="39"/>
        <v>25</v>
      </c>
      <c r="N572" s="69">
        <f>IFERROR(INDEX(Tabela3[ID_Responsavel], MATCH(O572,Tabela3[[Responsáveis ]], 0)), "Não encontrado")</f>
        <v>28</v>
      </c>
      <c r="O572" s="186" t="s">
        <v>186</v>
      </c>
      <c r="P572" s="187" t="s">
        <v>48</v>
      </c>
      <c r="Q572" s="27" t="s">
        <v>781</v>
      </c>
    </row>
    <row r="573" spans="1:17" ht="15" hidden="1" customHeight="1">
      <c r="A573" s="179">
        <f>IFERROR(INDEX(Tabela2[ID_Area], MATCH(B573,Tabela2[Area], 0)), "Não encontrado")</f>
        <v>1003</v>
      </c>
      <c r="B573" s="116" t="s">
        <v>92</v>
      </c>
      <c r="C573" s="23" t="s">
        <v>55</v>
      </c>
      <c r="D573" s="24">
        <f>IFERROR(INDEX(Metas!$D$2:$D$109, MATCH(E573,Metas!$E$2:$E$109, 0)), "Não encontrado")</f>
        <v>204</v>
      </c>
      <c r="E573" s="23" t="s">
        <v>187</v>
      </c>
      <c r="F573" s="185" t="s">
        <v>782</v>
      </c>
      <c r="G573" s="62" t="str">
        <f t="shared" ca="1" si="35"/>
        <v>Concluído</v>
      </c>
      <c r="H573" s="159">
        <v>45716</v>
      </c>
      <c r="I573" s="118">
        <v>1</v>
      </c>
      <c r="J573" s="53">
        <f t="shared" si="38"/>
        <v>13.941908713692946</v>
      </c>
      <c r="K573" s="25">
        <v>45689</v>
      </c>
      <c r="L573" s="25">
        <v>45716</v>
      </c>
      <c r="M573" s="26">
        <f t="shared" si="39"/>
        <v>28</v>
      </c>
      <c r="N573" s="69">
        <f>IFERROR(INDEX(Tabela3[ID_Responsavel], MATCH(O573,Tabela3[[Responsáveis ]], 0)), "Não encontrado")</f>
        <v>28</v>
      </c>
      <c r="O573" s="186" t="s">
        <v>186</v>
      </c>
      <c r="P573" s="187" t="s">
        <v>48</v>
      </c>
      <c r="Q573" s="27" t="s">
        <v>783</v>
      </c>
    </row>
    <row r="574" spans="1:17" ht="15" hidden="1" customHeight="1">
      <c r="A574" s="179">
        <f>IFERROR(INDEX(Tabela2[ID_Area], MATCH(B574,Tabela2[Area], 0)), "Não encontrado")</f>
        <v>1003</v>
      </c>
      <c r="B574" s="116" t="s">
        <v>92</v>
      </c>
      <c r="C574" s="23" t="s">
        <v>55</v>
      </c>
      <c r="D574" s="24">
        <f>IFERROR(INDEX(Metas!$D$2:$D$109, MATCH(E574,Metas!$E$2:$E$109, 0)), "Não encontrado")</f>
        <v>204</v>
      </c>
      <c r="E574" s="23" t="s">
        <v>187</v>
      </c>
      <c r="F574" s="185" t="s">
        <v>784</v>
      </c>
      <c r="G574" s="62" t="str">
        <f t="shared" ca="1" si="35"/>
        <v>Concluído</v>
      </c>
      <c r="H574" s="159">
        <v>45716</v>
      </c>
      <c r="I574" s="118">
        <v>1</v>
      </c>
      <c r="J574" s="53">
        <f t="shared" si="38"/>
        <v>13.941908713692946</v>
      </c>
      <c r="K574" s="25">
        <v>45689</v>
      </c>
      <c r="L574" s="25">
        <v>45716</v>
      </c>
      <c r="M574" s="26">
        <f t="shared" si="39"/>
        <v>28</v>
      </c>
      <c r="N574" s="69">
        <f>IFERROR(INDEX(Tabela3[ID_Responsavel], MATCH(O574,Tabela3[[Responsáveis ]], 0)), "Não encontrado")</f>
        <v>28</v>
      </c>
      <c r="O574" s="186" t="s">
        <v>186</v>
      </c>
      <c r="P574" s="187" t="s">
        <v>48</v>
      </c>
      <c r="Q574" s="27" t="s">
        <v>783</v>
      </c>
    </row>
    <row r="575" spans="1:17" ht="15" hidden="1" customHeight="1">
      <c r="A575" s="179">
        <f>IFERROR(INDEX(Tabela2[ID_Area], MATCH(B575,Tabela2[Area], 0)), "Não encontrado")</f>
        <v>1003</v>
      </c>
      <c r="B575" s="116" t="s">
        <v>92</v>
      </c>
      <c r="C575" s="23" t="s">
        <v>55</v>
      </c>
      <c r="D575" s="24">
        <f>IFERROR(INDEX(Metas!$D$2:$D$109, MATCH(E575,Metas!$E$2:$E$109, 0)), "Não encontrado")</f>
        <v>204</v>
      </c>
      <c r="E575" s="23" t="s">
        <v>187</v>
      </c>
      <c r="F575" s="185" t="s">
        <v>785</v>
      </c>
      <c r="G575" s="62" t="str">
        <f t="shared" ca="1" si="35"/>
        <v>Concluído</v>
      </c>
      <c r="H575" s="159">
        <v>45741</v>
      </c>
      <c r="I575" s="118">
        <v>1</v>
      </c>
      <c r="J575" s="53">
        <f t="shared" si="38"/>
        <v>14.937759336099585</v>
      </c>
      <c r="K575" s="25">
        <v>45717</v>
      </c>
      <c r="L575" s="25">
        <v>45746</v>
      </c>
      <c r="M575" s="26">
        <f t="shared" si="39"/>
        <v>30</v>
      </c>
      <c r="N575" s="69">
        <f>IFERROR(INDEX(Tabela3[ID_Responsavel], MATCH(O575,Tabela3[[Responsáveis ]], 0)), "Não encontrado")</f>
        <v>28</v>
      </c>
      <c r="O575" s="186" t="s">
        <v>186</v>
      </c>
      <c r="P575" s="187" t="s">
        <v>48</v>
      </c>
      <c r="Q575" s="27" t="s">
        <v>783</v>
      </c>
    </row>
    <row r="576" spans="1:17" ht="15" hidden="1" customHeight="1">
      <c r="A576" s="179">
        <f>IFERROR(INDEX(Tabela2[ID_Area], MATCH(B576,Tabela2[Area], 0)), "Não encontrado")</f>
        <v>1003</v>
      </c>
      <c r="B576" s="116" t="s">
        <v>92</v>
      </c>
      <c r="C576" s="23" t="s">
        <v>55</v>
      </c>
      <c r="D576" s="24">
        <f>IFERROR(INDEX(Metas!$D$2:$D$109, MATCH(E576,Metas!$E$2:$E$109, 0)), "Não encontrado")</f>
        <v>204</v>
      </c>
      <c r="E576" s="23" t="s">
        <v>187</v>
      </c>
      <c r="F576" s="185" t="s">
        <v>786</v>
      </c>
      <c r="G576" s="62" t="str">
        <f t="shared" ca="1" si="35"/>
        <v>Concluído</v>
      </c>
      <c r="H576" s="159">
        <v>45772</v>
      </c>
      <c r="I576" s="118">
        <v>1</v>
      </c>
      <c r="J576" s="53">
        <f t="shared" si="38"/>
        <v>14.937759336099585</v>
      </c>
      <c r="K576" s="25">
        <v>45748</v>
      </c>
      <c r="L576" s="25">
        <v>45777</v>
      </c>
      <c r="M576" s="26">
        <f t="shared" si="39"/>
        <v>30</v>
      </c>
      <c r="N576" s="69">
        <f>IFERROR(INDEX(Tabela3[ID_Responsavel], MATCH(O576,Tabela3[[Responsáveis ]], 0)), "Não encontrado")</f>
        <v>28</v>
      </c>
      <c r="O576" s="186" t="s">
        <v>186</v>
      </c>
      <c r="P576" s="187" t="s">
        <v>48</v>
      </c>
      <c r="Q576" s="27" t="s">
        <v>783</v>
      </c>
    </row>
    <row r="577" spans="1:17" ht="15" hidden="1" customHeight="1">
      <c r="A577" s="179">
        <f>IFERROR(INDEX(Tabela2[ID_Area], MATCH(B577,Tabela2[Area], 0)), "Não encontrado")</f>
        <v>1003</v>
      </c>
      <c r="B577" s="116" t="s">
        <v>92</v>
      </c>
      <c r="C577" s="23" t="s">
        <v>55</v>
      </c>
      <c r="D577" s="24">
        <f>IFERROR(INDEX(Metas!$D$2:$D$109, MATCH(E577,Metas!$E$2:$E$109, 0)), "Não encontrado")</f>
        <v>204</v>
      </c>
      <c r="E577" s="23" t="s">
        <v>187</v>
      </c>
      <c r="F577" s="185" t="s">
        <v>590</v>
      </c>
      <c r="G577" s="62" t="str">
        <f t="shared" ca="1" si="35"/>
        <v>Concluído</v>
      </c>
      <c r="H577" s="159">
        <v>45792</v>
      </c>
      <c r="I577" s="118">
        <v>1</v>
      </c>
      <c r="J577" s="53">
        <f t="shared" si="38"/>
        <v>7.4688796680497926</v>
      </c>
      <c r="K577" s="25">
        <v>45778</v>
      </c>
      <c r="L577" s="25">
        <v>45792</v>
      </c>
      <c r="M577" s="26">
        <f t="shared" si="39"/>
        <v>15</v>
      </c>
      <c r="N577" s="69">
        <f>IFERROR(INDEX(Tabela3[ID_Responsavel], MATCH(O577,Tabela3[[Responsáveis ]], 0)), "Não encontrado")</f>
        <v>28</v>
      </c>
      <c r="O577" s="186" t="s">
        <v>186</v>
      </c>
      <c r="P577" s="187" t="s">
        <v>48</v>
      </c>
      <c r="Q577" s="27" t="s">
        <v>783</v>
      </c>
    </row>
    <row r="578" spans="1:17" ht="15" hidden="1" customHeight="1">
      <c r="A578" s="179">
        <f>IFERROR(INDEX(Tabela2[ID_Area], MATCH(B578,Tabela2[Area], 0)), "Não encontrado")</f>
        <v>1003</v>
      </c>
      <c r="B578" s="116" t="s">
        <v>92</v>
      </c>
      <c r="C578" s="23" t="s">
        <v>55</v>
      </c>
      <c r="D578" s="24">
        <f>IFERROR(INDEX(Metas!$D$2:$D$109, MATCH(E578,Metas!$E$2:$E$109, 0)), "Não encontrado")</f>
        <v>204</v>
      </c>
      <c r="E578" s="23" t="s">
        <v>187</v>
      </c>
      <c r="F578" s="185" t="s">
        <v>787</v>
      </c>
      <c r="G578" s="62" t="str">
        <f t="shared" ca="1" si="35"/>
        <v>Concluído</v>
      </c>
      <c r="H578" s="159">
        <v>45838</v>
      </c>
      <c r="I578" s="118">
        <v>1</v>
      </c>
      <c r="J578" s="53">
        <f t="shared" si="38"/>
        <v>23.402489626556015</v>
      </c>
      <c r="K578" s="25">
        <v>45792</v>
      </c>
      <c r="L578" s="25">
        <v>45838</v>
      </c>
      <c r="M578" s="26">
        <f t="shared" si="39"/>
        <v>47</v>
      </c>
      <c r="N578" s="69">
        <f>IFERROR(INDEX(Tabela3[ID_Responsavel], MATCH(O578,Tabela3[[Responsáveis ]], 0)), "Não encontrado")</f>
        <v>28</v>
      </c>
      <c r="O578" s="186" t="s">
        <v>186</v>
      </c>
      <c r="P578" s="187" t="s">
        <v>48</v>
      </c>
      <c r="Q578" s="27" t="s">
        <v>788</v>
      </c>
    </row>
    <row r="579" spans="1:17" ht="15" hidden="1" customHeight="1">
      <c r="A579" s="179">
        <f>IFERROR(INDEX(Tabela2[ID_Area], MATCH(B579,Tabela2[Area], 0)), "Não encontrado")</f>
        <v>1003</v>
      </c>
      <c r="B579" s="116" t="s">
        <v>92</v>
      </c>
      <c r="C579" s="23" t="s">
        <v>55</v>
      </c>
      <c r="D579" s="24">
        <f>IFERROR(INDEX(Metas!$D$2:$D$109, MATCH(E579,Metas!$E$2:$E$109, 0)), "Não encontrado")</f>
        <v>188</v>
      </c>
      <c r="E579" s="23" t="s">
        <v>164</v>
      </c>
      <c r="F579" s="185" t="s">
        <v>558</v>
      </c>
      <c r="G579" s="62" t="str">
        <f t="shared" ca="1" si="35"/>
        <v>Concluído</v>
      </c>
      <c r="H579" s="159">
        <v>45695</v>
      </c>
      <c r="I579" s="118">
        <v>1</v>
      </c>
      <c r="J579" s="53">
        <f t="shared" si="38"/>
        <v>2.867924528301887</v>
      </c>
      <c r="K579" s="25">
        <v>45658</v>
      </c>
      <c r="L579" s="25">
        <v>45695</v>
      </c>
      <c r="M579" s="26">
        <f t="shared" si="39"/>
        <v>38</v>
      </c>
      <c r="N579" s="69">
        <f>IFERROR(INDEX(Tabela3[ID_Responsavel], MATCH(O579,Tabela3[[Responsáveis ]], 0)), "Não encontrado")</f>
        <v>28</v>
      </c>
      <c r="O579" s="186" t="s">
        <v>186</v>
      </c>
      <c r="P579" s="187" t="s">
        <v>48</v>
      </c>
      <c r="Q579" s="27" t="s">
        <v>789</v>
      </c>
    </row>
    <row r="580" spans="1:17" ht="15" hidden="1" customHeight="1">
      <c r="A580" s="179">
        <f>IFERROR(INDEX(Tabela2[ID_Area], MATCH(B580,Tabela2[Area], 0)), "Não encontrado")</f>
        <v>1003</v>
      </c>
      <c r="B580" s="116" t="s">
        <v>92</v>
      </c>
      <c r="C580" s="23" t="s">
        <v>55</v>
      </c>
      <c r="D580" s="24">
        <f>IFERROR(INDEX(Metas!$D$2:$D$109, MATCH(E580,Metas!$E$2:$E$109, 0)), "Não encontrado")</f>
        <v>188</v>
      </c>
      <c r="E580" s="23" t="s">
        <v>164</v>
      </c>
      <c r="F580" s="185" t="s">
        <v>560</v>
      </c>
      <c r="G580" s="62" t="str">
        <f t="shared" ref="G580:G598" ca="1" si="40">IF(I580=1,"Concluído",
   IF(TODAY()&gt;L580,"Atrasado",
      IF(AND(I580=0,TODAY()&lt;K580),"Não iniciado",
         "Em Andamento")))</f>
        <v>Concluído</v>
      </c>
      <c r="H580" s="159">
        <v>45695</v>
      </c>
      <c r="I580" s="118">
        <v>1</v>
      </c>
      <c r="J580" s="53">
        <f t="shared" si="38"/>
        <v>2.2641509433962264</v>
      </c>
      <c r="K580" s="25">
        <v>45658</v>
      </c>
      <c r="L580" s="25">
        <v>45687</v>
      </c>
      <c r="M580" s="26">
        <f t="shared" si="39"/>
        <v>30</v>
      </c>
      <c r="N580" s="69">
        <f>IFERROR(INDEX(Tabela3[ID_Responsavel], MATCH(O580,Tabela3[[Responsáveis ]], 0)), "Não encontrado")</f>
        <v>28</v>
      </c>
      <c r="O580" s="186" t="s">
        <v>186</v>
      </c>
      <c r="P580" s="187" t="s">
        <v>48</v>
      </c>
      <c r="Q580" s="27" t="s">
        <v>790</v>
      </c>
    </row>
    <row r="581" spans="1:17" ht="15" hidden="1" customHeight="1">
      <c r="A581" s="179">
        <f>IFERROR(INDEX(Tabela2[ID_Area], MATCH(B581,Tabela2[Area], 0)), "Não encontrado")</f>
        <v>1003</v>
      </c>
      <c r="B581" s="116" t="s">
        <v>92</v>
      </c>
      <c r="C581" s="23" t="s">
        <v>55</v>
      </c>
      <c r="D581" s="24">
        <f>IFERROR(INDEX(Metas!$D$2:$D$109, MATCH(E581,Metas!$E$2:$E$109, 0)), "Não encontrado")</f>
        <v>188</v>
      </c>
      <c r="E581" s="23" t="s">
        <v>164</v>
      </c>
      <c r="F581" s="185" t="s">
        <v>562</v>
      </c>
      <c r="G581" s="62" t="str">
        <f t="shared" ca="1" si="40"/>
        <v>Concluído</v>
      </c>
      <c r="H581" s="159">
        <v>45695</v>
      </c>
      <c r="I581" s="118">
        <v>1</v>
      </c>
      <c r="J581" s="53">
        <f t="shared" si="38"/>
        <v>2.3396226415094339</v>
      </c>
      <c r="K581" s="25">
        <v>45658</v>
      </c>
      <c r="L581" s="25">
        <v>45688</v>
      </c>
      <c r="M581" s="26">
        <f t="shared" si="39"/>
        <v>31</v>
      </c>
      <c r="N581" s="69">
        <f>IFERROR(INDEX(Tabela3[ID_Responsavel], MATCH(O581,Tabela3[[Responsáveis ]], 0)), "Não encontrado")</f>
        <v>28</v>
      </c>
      <c r="O581" s="186" t="s">
        <v>186</v>
      </c>
      <c r="P581" s="187" t="s">
        <v>48</v>
      </c>
      <c r="Q581" s="27" t="s">
        <v>790</v>
      </c>
    </row>
    <row r="582" spans="1:17" ht="15" hidden="1" customHeight="1">
      <c r="A582" s="179">
        <f>IFERROR(INDEX(Tabela2[ID_Area], MATCH(B582,Tabela2[Area], 0)), "Não encontrado")</f>
        <v>1003</v>
      </c>
      <c r="B582" s="116" t="s">
        <v>92</v>
      </c>
      <c r="C582" s="23" t="s">
        <v>55</v>
      </c>
      <c r="D582" s="24">
        <f>IFERROR(INDEX(Metas!$D$2:$D$109, MATCH(E582,Metas!$E$2:$E$109, 0)), "Não encontrado")</f>
        <v>188</v>
      </c>
      <c r="E582" s="23" t="s">
        <v>164</v>
      </c>
      <c r="F582" s="185" t="s">
        <v>564</v>
      </c>
      <c r="G582" s="62" t="str">
        <f t="shared" ca="1" si="40"/>
        <v>Concluído</v>
      </c>
      <c r="H582" s="159">
        <v>46008</v>
      </c>
      <c r="I582" s="118">
        <v>1</v>
      </c>
      <c r="J582" s="53">
        <f t="shared" si="38"/>
        <v>27.547169811320757</v>
      </c>
      <c r="K582" s="25">
        <v>45658</v>
      </c>
      <c r="L582" s="25">
        <v>46022</v>
      </c>
      <c r="M582" s="26">
        <f t="shared" si="39"/>
        <v>365</v>
      </c>
      <c r="N582" s="69">
        <f>IFERROR(INDEX(Tabela3[ID_Responsavel], MATCH(O582,Tabela3[[Responsáveis ]], 0)), "Não encontrado")</f>
        <v>28</v>
      </c>
      <c r="O582" s="186" t="s">
        <v>186</v>
      </c>
      <c r="P582" s="187" t="s">
        <v>48</v>
      </c>
      <c r="Q582" s="27" t="s">
        <v>783</v>
      </c>
    </row>
    <row r="583" spans="1:17" ht="15" hidden="1" customHeight="1">
      <c r="A583" s="179">
        <f>IFERROR(INDEX(Tabela2[ID_Area], MATCH(B583,Tabela2[Area], 0)), "Não encontrado")</f>
        <v>1003</v>
      </c>
      <c r="B583" s="116" t="s">
        <v>92</v>
      </c>
      <c r="C583" s="23" t="s">
        <v>55</v>
      </c>
      <c r="D583" s="24">
        <f>IFERROR(INDEX(Metas!$D$2:$D$109, MATCH(E583,Metas!$E$2:$E$109, 0)), "Não encontrado")</f>
        <v>188</v>
      </c>
      <c r="E583" s="23" t="s">
        <v>164</v>
      </c>
      <c r="F583" s="185" t="s">
        <v>566</v>
      </c>
      <c r="G583" s="62" t="str">
        <f t="shared" ca="1" si="40"/>
        <v>Concluído</v>
      </c>
      <c r="H583" s="159">
        <v>46008</v>
      </c>
      <c r="I583" s="118">
        <v>1</v>
      </c>
      <c r="J583" s="53">
        <f t="shared" si="38"/>
        <v>27.547169811320757</v>
      </c>
      <c r="K583" s="25">
        <v>45658</v>
      </c>
      <c r="L583" s="25">
        <v>46022</v>
      </c>
      <c r="M583" s="26">
        <f t="shared" si="39"/>
        <v>365</v>
      </c>
      <c r="N583" s="69">
        <f>IFERROR(INDEX(Tabela3[ID_Responsavel], MATCH(O583,Tabela3[[Responsáveis ]], 0)), "Não encontrado")</f>
        <v>28</v>
      </c>
      <c r="O583" s="186" t="s">
        <v>186</v>
      </c>
      <c r="P583" s="187" t="s">
        <v>48</v>
      </c>
      <c r="Q583" s="27" t="s">
        <v>783</v>
      </c>
    </row>
    <row r="584" spans="1:17" ht="15" hidden="1" customHeight="1">
      <c r="A584" s="181">
        <f>IFERROR(INDEX(Tabela2[ID_Area], MATCH(B584,Tabela2[Area], 0)), "Não encontrado")</f>
        <v>1003</v>
      </c>
      <c r="B584" s="116" t="s">
        <v>92</v>
      </c>
      <c r="C584" s="16" t="s">
        <v>55</v>
      </c>
      <c r="D584" s="18">
        <f>IFERROR(INDEX(Metas!$D$2:$D$109, MATCH(E584,Metas!$E$2:$E$109, 0)), "Não encontrado")</f>
        <v>188</v>
      </c>
      <c r="E584" s="16" t="s">
        <v>164</v>
      </c>
      <c r="F584" s="185" t="s">
        <v>567</v>
      </c>
      <c r="G584" s="62" t="str">
        <f t="shared" ca="1" si="40"/>
        <v>Concluído</v>
      </c>
      <c r="H584" s="158">
        <v>46008</v>
      </c>
      <c r="I584" s="30">
        <v>1</v>
      </c>
      <c r="J584" s="53">
        <f t="shared" si="38"/>
        <v>27.547169811320757</v>
      </c>
      <c r="K584" s="19">
        <v>45658</v>
      </c>
      <c r="L584" s="19">
        <v>46022</v>
      </c>
      <c r="M584" s="182">
        <f t="shared" ref="M584:M598" si="41" xml:space="preserve"> L584 - K584 + 1</f>
        <v>365</v>
      </c>
      <c r="N584" s="183">
        <f>IFERROR(INDEX(Tabela3[ID_Responsavel], MATCH(O584,Tabela3[[Responsáveis ]], 0)), "Não encontrado")</f>
        <v>28</v>
      </c>
      <c r="O584" s="186" t="s">
        <v>186</v>
      </c>
      <c r="P584" s="187" t="s">
        <v>48</v>
      </c>
      <c r="Q584" s="20" t="s">
        <v>783</v>
      </c>
    </row>
    <row r="585" spans="1:17" ht="15" hidden="1" customHeight="1">
      <c r="A585" s="181">
        <f>IFERROR(INDEX(Tabela2[ID_Area], MATCH(B585,Tabela2[Area], 0)), "Não encontrado")</f>
        <v>1003</v>
      </c>
      <c r="B585" s="116" t="s">
        <v>92</v>
      </c>
      <c r="C585" s="16" t="s">
        <v>55</v>
      </c>
      <c r="D585" s="18">
        <f>IFERROR(INDEX(Metas!$D$2:$D$109, MATCH(E585,Metas!$E$2:$E$109, 0)), "Não encontrado")</f>
        <v>188</v>
      </c>
      <c r="E585" s="16" t="s">
        <v>164</v>
      </c>
      <c r="F585" s="185" t="s">
        <v>569</v>
      </c>
      <c r="G585" s="62" t="str">
        <f t="shared" ca="1" si="40"/>
        <v>Concluído</v>
      </c>
      <c r="H585" s="158">
        <v>46008</v>
      </c>
      <c r="I585" s="30">
        <v>1</v>
      </c>
      <c r="J585" s="53">
        <f t="shared" si="38"/>
        <v>27.547169811320757</v>
      </c>
      <c r="K585" s="19">
        <v>45658</v>
      </c>
      <c r="L585" s="19">
        <v>46022</v>
      </c>
      <c r="M585" s="182">
        <f t="shared" si="41"/>
        <v>365</v>
      </c>
      <c r="N585" s="183">
        <f>IFERROR(INDEX(Tabela3[ID_Responsavel], MATCH(O585,Tabela3[[Responsáveis ]], 0)), "Não encontrado")</f>
        <v>28</v>
      </c>
      <c r="O585" s="186" t="s">
        <v>186</v>
      </c>
      <c r="P585" s="187" t="s">
        <v>48</v>
      </c>
      <c r="Q585" s="20" t="s">
        <v>783</v>
      </c>
    </row>
    <row r="586" spans="1:17" ht="15" hidden="1" customHeight="1">
      <c r="A586" s="181">
        <f>IFERROR(INDEX(Tabela2[ID_Area], MATCH(B586,Tabela2[Area], 0)), "Não encontrado")</f>
        <v>1003</v>
      </c>
      <c r="B586" s="116" t="s">
        <v>92</v>
      </c>
      <c r="C586" s="16" t="s">
        <v>55</v>
      </c>
      <c r="D586" s="18">
        <f>IFERROR(INDEX(Metas!$D$2:$D$109, MATCH(E586,Metas!$E$2:$E$109, 0)), "Não encontrado")</f>
        <v>188</v>
      </c>
      <c r="E586" s="16" t="s">
        <v>164</v>
      </c>
      <c r="F586" s="185" t="s">
        <v>571</v>
      </c>
      <c r="G586" s="62" t="str">
        <f t="shared" ca="1" si="40"/>
        <v>Concluído</v>
      </c>
      <c r="H586" s="158">
        <v>46008</v>
      </c>
      <c r="I586" s="30">
        <v>1</v>
      </c>
      <c r="J586" s="53">
        <f t="shared" si="38"/>
        <v>2.3396226415094339</v>
      </c>
      <c r="K586" s="19">
        <v>45992</v>
      </c>
      <c r="L586" s="19">
        <v>46022</v>
      </c>
      <c r="M586" s="182">
        <f t="shared" si="41"/>
        <v>31</v>
      </c>
      <c r="N586" s="183">
        <f>IFERROR(INDEX(Tabela3[ID_Responsavel], MATCH(O586,Tabela3[[Responsáveis ]], 0)), "Não encontrado")</f>
        <v>28</v>
      </c>
      <c r="O586" s="186" t="s">
        <v>186</v>
      </c>
      <c r="P586" s="187" t="s">
        <v>48</v>
      </c>
      <c r="Q586" s="20" t="s">
        <v>783</v>
      </c>
    </row>
    <row r="587" spans="1:17" ht="15" hidden="1" customHeight="1">
      <c r="A587" s="181">
        <f>IFERROR(INDEX(Tabela2[ID_Area], MATCH(B587,Tabela2[Area], 0)), "Não encontrado")</f>
        <v>1003</v>
      </c>
      <c r="B587" s="116" t="s">
        <v>92</v>
      </c>
      <c r="C587" s="16" t="s">
        <v>55</v>
      </c>
      <c r="D587" s="18">
        <f>IFERROR(INDEX(Metas!$D$2:$D$109, MATCH(E587,Metas!$E$2:$E$109, 0)), "Não encontrado")</f>
        <v>182</v>
      </c>
      <c r="E587" s="16" t="s">
        <v>157</v>
      </c>
      <c r="F587" s="185" t="s">
        <v>457</v>
      </c>
      <c r="G587" s="62" t="str">
        <f t="shared" ca="1" si="40"/>
        <v>Concluído</v>
      </c>
      <c r="H587" s="158">
        <v>45695</v>
      </c>
      <c r="I587" s="30">
        <v>1</v>
      </c>
      <c r="J587" s="53">
        <f t="shared" si="38"/>
        <v>22.822085889570552</v>
      </c>
      <c r="K587" s="19">
        <v>45658</v>
      </c>
      <c r="L587" s="19">
        <v>45688</v>
      </c>
      <c r="M587" s="182">
        <f t="shared" si="41"/>
        <v>31</v>
      </c>
      <c r="N587" s="183">
        <f>IFERROR(INDEX(Tabela3[ID_Responsavel], MATCH(O587,Tabela3[[Responsáveis ]], 0)), "Não encontrado")</f>
        <v>28</v>
      </c>
      <c r="O587" s="184" t="s">
        <v>186</v>
      </c>
      <c r="P587" s="187" t="s">
        <v>48</v>
      </c>
      <c r="Q587" s="20" t="s">
        <v>790</v>
      </c>
    </row>
    <row r="588" spans="1:17" ht="15" hidden="1" customHeight="1">
      <c r="A588" s="181">
        <f>IFERROR(INDEX(Tabela2[ID_Area], MATCH(B588,Tabela2[Area], 0)), "Não encontrado")</f>
        <v>1003</v>
      </c>
      <c r="B588" s="116" t="s">
        <v>92</v>
      </c>
      <c r="C588" s="16" t="s">
        <v>55</v>
      </c>
      <c r="D588" s="18">
        <f>IFERROR(INDEX(Metas!$D$2:$D$109, MATCH(E588,Metas!$E$2:$E$109, 0)), "Não encontrado")</f>
        <v>182</v>
      </c>
      <c r="E588" s="16" t="s">
        <v>157</v>
      </c>
      <c r="F588" s="185" t="s">
        <v>459</v>
      </c>
      <c r="G588" s="62" t="str">
        <f t="shared" ca="1" si="40"/>
        <v>Concluído</v>
      </c>
      <c r="H588" s="158">
        <v>45747</v>
      </c>
      <c r="I588" s="30">
        <v>1</v>
      </c>
      <c r="J588" s="53">
        <f t="shared" si="38"/>
        <v>43.435582822085891</v>
      </c>
      <c r="K588" s="19">
        <v>45689</v>
      </c>
      <c r="L588" s="19">
        <v>45747</v>
      </c>
      <c r="M588" s="182">
        <f t="shared" si="41"/>
        <v>59</v>
      </c>
      <c r="N588" s="183">
        <f>IFERROR(INDEX(Tabela3[ID_Responsavel], MATCH(O588,Tabela3[[Responsáveis ]], 0)), "Não encontrado")</f>
        <v>28</v>
      </c>
      <c r="O588" s="184" t="s">
        <v>186</v>
      </c>
      <c r="P588" s="187" t="s">
        <v>48</v>
      </c>
      <c r="Q588" s="20" t="s">
        <v>791</v>
      </c>
    </row>
    <row r="589" spans="1:17" ht="15" hidden="1" customHeight="1">
      <c r="A589" s="181">
        <f>IFERROR(INDEX(Tabela2[ID_Area], MATCH(B589,Tabela2[Area], 0)), "Não encontrado")</f>
        <v>1003</v>
      </c>
      <c r="B589" s="116" t="s">
        <v>92</v>
      </c>
      <c r="C589" s="16" t="s">
        <v>55</v>
      </c>
      <c r="D589" s="18">
        <f>IFERROR(INDEX(Metas!$D$2:$D$109, MATCH(E589,Metas!$E$2:$E$109, 0)), "Não encontrado")</f>
        <v>182</v>
      </c>
      <c r="E589" s="16" t="s">
        <v>157</v>
      </c>
      <c r="F589" s="185" t="s">
        <v>461</v>
      </c>
      <c r="G589" s="62" t="str">
        <f t="shared" ca="1" si="40"/>
        <v>Atrasado</v>
      </c>
      <c r="H589" s="28"/>
      <c r="I589" s="30">
        <v>0</v>
      </c>
      <c r="J589" s="53">
        <f t="shared" si="38"/>
        <v>44.907975460122699</v>
      </c>
      <c r="K589" s="19">
        <v>45839</v>
      </c>
      <c r="L589" s="19">
        <v>45899</v>
      </c>
      <c r="M589" s="182">
        <f t="shared" si="41"/>
        <v>61</v>
      </c>
      <c r="N589" s="183">
        <f>IFERROR(INDEX(Tabela3[ID_Responsavel], MATCH(O589,Tabela3[[Responsáveis ]], 0)), "Não encontrado")</f>
        <v>28</v>
      </c>
      <c r="O589" s="184" t="s">
        <v>186</v>
      </c>
      <c r="P589" s="187" t="s">
        <v>48</v>
      </c>
      <c r="Q589" s="20" t="s">
        <v>792</v>
      </c>
    </row>
    <row r="590" spans="1:17" ht="15" hidden="1" customHeight="1">
      <c r="A590" s="181">
        <f>IFERROR(INDEX(Tabela2[ID_Area], MATCH(B590,Tabela2[Area], 0)), "Não encontrado")</f>
        <v>1003</v>
      </c>
      <c r="B590" s="116" t="s">
        <v>92</v>
      </c>
      <c r="C590" s="16" t="s">
        <v>55</v>
      </c>
      <c r="D590" s="18">
        <f>IFERROR(INDEX(Metas!$D$2:$D$109, MATCH(E590,Metas!$E$2:$E$109, 0)), "Não encontrado")</f>
        <v>182</v>
      </c>
      <c r="E590" s="16" t="s">
        <v>157</v>
      </c>
      <c r="F590" s="185" t="s">
        <v>463</v>
      </c>
      <c r="G590" s="62" t="str">
        <f t="shared" ca="1" si="40"/>
        <v>Atrasado</v>
      </c>
      <c r="H590" s="28"/>
      <c r="I590" s="30">
        <v>0</v>
      </c>
      <c r="J590" s="53">
        <f t="shared" si="38"/>
        <v>8.8343558282208594</v>
      </c>
      <c r="K590" s="19">
        <v>45899</v>
      </c>
      <c r="L590" s="19">
        <v>45910</v>
      </c>
      <c r="M590" s="182">
        <f t="shared" si="41"/>
        <v>12</v>
      </c>
      <c r="N590" s="183">
        <f>IFERROR(INDEX(Tabela3[ID_Responsavel], MATCH(O590,Tabela3[[Responsáveis ]], 0)), "Não encontrado")</f>
        <v>28</v>
      </c>
      <c r="O590" s="184" t="s">
        <v>186</v>
      </c>
      <c r="P590" s="187" t="s">
        <v>48</v>
      </c>
      <c r="Q590" s="20" t="s">
        <v>792</v>
      </c>
    </row>
    <row r="591" spans="1:17" ht="15" hidden="1" customHeight="1">
      <c r="A591" s="181">
        <f>IFERROR(INDEX(Tabela2[ID_Area], MATCH(B591,Tabela2[Area], 0)), "Não encontrado")</f>
        <v>1003</v>
      </c>
      <c r="B591" s="116" t="s">
        <v>92</v>
      </c>
      <c r="C591" s="16" t="s">
        <v>259</v>
      </c>
      <c r="D591" s="18">
        <f>IFERROR(INDEX(Metas!$D$2:$D$109, MATCH(E591,Metas!$E$2:$E$109, 0)), "Não encontrado")</f>
        <v>189</v>
      </c>
      <c r="E591" s="16" t="s">
        <v>165</v>
      </c>
      <c r="F591" s="185" t="s">
        <v>581</v>
      </c>
      <c r="G591" s="62" t="str">
        <f t="shared" ca="1" si="40"/>
        <v>Concluído</v>
      </c>
      <c r="H591" s="158">
        <v>45698</v>
      </c>
      <c r="I591" s="30">
        <v>1</v>
      </c>
      <c r="J591" s="53">
        <f t="shared" si="38"/>
        <v>2.976</v>
      </c>
      <c r="K591" s="19">
        <v>45658</v>
      </c>
      <c r="L591" s="19">
        <v>45688</v>
      </c>
      <c r="M591" s="182">
        <f t="shared" si="41"/>
        <v>31</v>
      </c>
      <c r="N591" s="183">
        <f>IFERROR(INDEX(Tabela3[ID_Responsavel], MATCH(O591,Tabela3[[Responsáveis ]], 0)), "Não encontrado")</f>
        <v>28</v>
      </c>
      <c r="O591" s="184" t="s">
        <v>186</v>
      </c>
      <c r="P591" s="187" t="s">
        <v>48</v>
      </c>
      <c r="Q591" s="20" t="s">
        <v>473</v>
      </c>
    </row>
    <row r="592" spans="1:17" ht="15" hidden="1" customHeight="1">
      <c r="A592" s="181">
        <f>IFERROR(INDEX(Tabela2[ID_Area], MATCH(B592,Tabela2[Area], 0)), "Não encontrado")</f>
        <v>1003</v>
      </c>
      <c r="B592" s="116" t="s">
        <v>92</v>
      </c>
      <c r="C592" s="16" t="s">
        <v>259</v>
      </c>
      <c r="D592" s="18">
        <f>IFERROR(INDEX(Metas!$D$2:$D$109, MATCH(E592,Metas!$E$2:$E$109, 0)), "Não encontrado")</f>
        <v>189</v>
      </c>
      <c r="E592" s="16" t="s">
        <v>165</v>
      </c>
      <c r="F592" s="185" t="s">
        <v>583</v>
      </c>
      <c r="G592" s="62" t="str">
        <f t="shared" ca="1" si="40"/>
        <v>Concluído</v>
      </c>
      <c r="H592" s="158">
        <v>45698</v>
      </c>
      <c r="I592" s="30">
        <v>1</v>
      </c>
      <c r="J592" s="53">
        <f t="shared" si="38"/>
        <v>2.976</v>
      </c>
      <c r="K592" s="19">
        <v>45658</v>
      </c>
      <c r="L592" s="19">
        <v>45688</v>
      </c>
      <c r="M592" s="182">
        <f t="shared" si="41"/>
        <v>31</v>
      </c>
      <c r="N592" s="183">
        <f>IFERROR(INDEX(Tabela3[ID_Responsavel], MATCH(O592,Tabela3[[Responsáveis ]], 0)), "Não encontrado")</f>
        <v>28</v>
      </c>
      <c r="O592" s="184" t="s">
        <v>186</v>
      </c>
      <c r="P592" s="187" t="s">
        <v>48</v>
      </c>
      <c r="Q592" s="20" t="s">
        <v>793</v>
      </c>
    </row>
    <row r="593" spans="1:17" ht="15" hidden="1" customHeight="1">
      <c r="A593" s="181">
        <f>IFERROR(INDEX(Tabela2[ID_Area], MATCH(B593,Tabela2[Area], 0)), "Não encontrado")</f>
        <v>1003</v>
      </c>
      <c r="B593" s="116" t="s">
        <v>92</v>
      </c>
      <c r="C593" s="16" t="s">
        <v>259</v>
      </c>
      <c r="D593" s="18">
        <f>IFERROR(INDEX(Metas!$D$2:$D$109, MATCH(E593,Metas!$E$2:$E$109, 0)), "Não encontrado")</f>
        <v>189</v>
      </c>
      <c r="E593" s="16" t="s">
        <v>165</v>
      </c>
      <c r="F593" s="185" t="s">
        <v>585</v>
      </c>
      <c r="G593" s="62" t="str">
        <f t="shared" ca="1" si="40"/>
        <v>Atrasado</v>
      </c>
      <c r="H593" s="158">
        <v>46008</v>
      </c>
      <c r="I593" s="30">
        <v>0.5</v>
      </c>
      <c r="J593" s="53">
        <f t="shared" si="38"/>
        <v>35.04</v>
      </c>
      <c r="K593" s="19">
        <v>45658</v>
      </c>
      <c r="L593" s="19">
        <v>46022</v>
      </c>
      <c r="M593" s="182">
        <f t="shared" si="41"/>
        <v>365</v>
      </c>
      <c r="N593" s="183">
        <f>IFERROR(INDEX(Tabela3[ID_Responsavel], MATCH(O593,Tabela3[[Responsáveis ]], 0)), "Não encontrado")</f>
        <v>28</v>
      </c>
      <c r="O593" s="184" t="s">
        <v>186</v>
      </c>
      <c r="P593" s="187" t="s">
        <v>48</v>
      </c>
      <c r="Q593" s="20" t="s">
        <v>794</v>
      </c>
    </row>
    <row r="594" spans="1:17" ht="15" hidden="1" customHeight="1">
      <c r="A594" s="181">
        <f>IFERROR(INDEX(Tabela2[ID_Area], MATCH(B594,Tabela2[Area], 0)), "Não encontrado")</f>
        <v>1003</v>
      </c>
      <c r="B594" s="116" t="s">
        <v>92</v>
      </c>
      <c r="C594" s="16" t="s">
        <v>259</v>
      </c>
      <c r="D594" s="18">
        <f>IFERROR(INDEX(Metas!$D$2:$D$109, MATCH(E594,Metas!$E$2:$E$109, 0)), "Não encontrado")</f>
        <v>189</v>
      </c>
      <c r="E594" s="16" t="s">
        <v>165</v>
      </c>
      <c r="F594" s="185" t="s">
        <v>586</v>
      </c>
      <c r="G594" s="62" t="str">
        <f t="shared" ca="1" si="40"/>
        <v>Atrasado</v>
      </c>
      <c r="H594" s="158">
        <v>46008</v>
      </c>
      <c r="I594" s="30">
        <v>0.5</v>
      </c>
      <c r="J594" s="53">
        <f t="shared" si="38"/>
        <v>35.04</v>
      </c>
      <c r="K594" s="19">
        <v>45658</v>
      </c>
      <c r="L594" s="19">
        <v>46022</v>
      </c>
      <c r="M594" s="182">
        <f t="shared" si="41"/>
        <v>365</v>
      </c>
      <c r="N594" s="183">
        <f>IFERROR(INDEX(Tabela3[ID_Responsavel], MATCH(O594,Tabela3[[Responsáveis ]], 0)), "Não encontrado")</f>
        <v>28</v>
      </c>
      <c r="O594" s="184" t="s">
        <v>186</v>
      </c>
      <c r="P594" s="187" t="s">
        <v>48</v>
      </c>
      <c r="Q594" s="20" t="s">
        <v>794</v>
      </c>
    </row>
    <row r="595" spans="1:17" ht="15" hidden="1" customHeight="1">
      <c r="A595" s="181">
        <f>IFERROR(INDEX(Tabela2[ID_Area], MATCH(B595,Tabela2[Area], 0)), "Não encontrado")</f>
        <v>1003</v>
      </c>
      <c r="B595" s="116" t="s">
        <v>92</v>
      </c>
      <c r="C595" s="16" t="s">
        <v>259</v>
      </c>
      <c r="D595" s="18">
        <f>IFERROR(INDEX(Metas!$D$2:$D$109, MATCH(E595,Metas!$E$2:$E$109, 0)), "Não encontrado")</f>
        <v>189</v>
      </c>
      <c r="E595" s="16" t="s">
        <v>165</v>
      </c>
      <c r="F595" s="185" t="s">
        <v>587</v>
      </c>
      <c r="G595" s="62" t="str">
        <f t="shared" ca="1" si="40"/>
        <v>Atrasado</v>
      </c>
      <c r="H595" s="158">
        <v>46008</v>
      </c>
      <c r="I595" s="30">
        <v>0.5</v>
      </c>
      <c r="J595" s="53">
        <f t="shared" si="38"/>
        <v>35.04</v>
      </c>
      <c r="K595" s="19">
        <v>45658</v>
      </c>
      <c r="L595" s="19">
        <v>46022</v>
      </c>
      <c r="M595" s="182">
        <f t="shared" si="41"/>
        <v>365</v>
      </c>
      <c r="N595" s="183">
        <f>IFERROR(INDEX(Tabela3[ID_Responsavel], MATCH(O595,Tabela3[[Responsáveis ]], 0)), "Não encontrado")</f>
        <v>28</v>
      </c>
      <c r="O595" s="184" t="s">
        <v>186</v>
      </c>
      <c r="P595" s="187" t="s">
        <v>48</v>
      </c>
      <c r="Q595" s="20" t="s">
        <v>794</v>
      </c>
    </row>
    <row r="596" spans="1:17" ht="15" hidden="1" customHeight="1">
      <c r="A596" s="181">
        <f>IFERROR(INDEX(Tabela2[ID_Area], MATCH(B596,Tabela2[Area], 0)), "Não encontrado")</f>
        <v>1003</v>
      </c>
      <c r="B596" s="116" t="s">
        <v>92</v>
      </c>
      <c r="C596" s="16" t="s">
        <v>259</v>
      </c>
      <c r="D596" s="18">
        <f>IFERROR(INDEX(Metas!$D$2:$D$109, MATCH(E596,Metas!$E$2:$E$109, 0)), "Não encontrado")</f>
        <v>189</v>
      </c>
      <c r="E596" s="16" t="s">
        <v>165</v>
      </c>
      <c r="F596" s="185" t="s">
        <v>588</v>
      </c>
      <c r="G596" s="62" t="str">
        <f t="shared" ca="1" si="40"/>
        <v>Atrasado</v>
      </c>
      <c r="H596" s="158">
        <v>46008</v>
      </c>
      <c r="I596" s="30">
        <v>0.5</v>
      </c>
      <c r="J596" s="53">
        <f t="shared" si="38"/>
        <v>2.976</v>
      </c>
      <c r="K596" s="19">
        <v>45992</v>
      </c>
      <c r="L596" s="19">
        <v>46022</v>
      </c>
      <c r="M596" s="182">
        <f t="shared" si="41"/>
        <v>31</v>
      </c>
      <c r="N596" s="183">
        <f>IFERROR(INDEX(Tabela3[ID_Responsavel], MATCH(O596,Tabela3[[Responsáveis ]], 0)), "Não encontrado")</f>
        <v>28</v>
      </c>
      <c r="O596" s="184" t="s">
        <v>186</v>
      </c>
      <c r="P596" s="187" t="s">
        <v>48</v>
      </c>
      <c r="Q596" s="20" t="s">
        <v>794</v>
      </c>
    </row>
    <row r="597" spans="1:17" ht="15" hidden="1" customHeight="1">
      <c r="A597" s="181">
        <f>IFERROR(INDEX(Tabela2[ID_Area], MATCH(B597,Tabela2[Area], 0)), "Não encontrado")</f>
        <v>1003</v>
      </c>
      <c r="B597" s="116" t="s">
        <v>92</v>
      </c>
      <c r="C597" s="16" t="s">
        <v>259</v>
      </c>
      <c r="D597" s="18">
        <f>IFERROR(INDEX(Metas!$D$2:$D$109, MATCH(E597,Metas!$E$2:$E$109, 0)), "Não encontrado")</f>
        <v>189</v>
      </c>
      <c r="E597" s="16" t="s">
        <v>165</v>
      </c>
      <c r="F597" s="185" t="s">
        <v>590</v>
      </c>
      <c r="G597" s="62" t="str">
        <f t="shared" ca="1" si="40"/>
        <v>Atrasado</v>
      </c>
      <c r="H597" s="158">
        <v>46008</v>
      </c>
      <c r="I597" s="30">
        <v>0.5</v>
      </c>
      <c r="J597" s="53">
        <f t="shared" si="38"/>
        <v>2.976</v>
      </c>
      <c r="K597" s="19">
        <v>45992</v>
      </c>
      <c r="L597" s="19">
        <v>46022</v>
      </c>
      <c r="M597" s="182">
        <f t="shared" si="41"/>
        <v>31</v>
      </c>
      <c r="N597" s="183">
        <f>IFERROR(INDEX(Tabela3[ID_Responsavel], MATCH(O597,Tabela3[[Responsáveis ]], 0)), "Não encontrado")</f>
        <v>28</v>
      </c>
      <c r="O597" s="184" t="s">
        <v>186</v>
      </c>
      <c r="P597" s="187" t="s">
        <v>48</v>
      </c>
      <c r="Q597" s="20" t="s">
        <v>794</v>
      </c>
    </row>
    <row r="598" spans="1:17" ht="15" hidden="1" customHeight="1">
      <c r="A598" s="179">
        <f>IFERROR(INDEX(Tabela2[ID_Area], MATCH(B598,Tabela2[Area], 0)), "Não encontrado")</f>
        <v>1003</v>
      </c>
      <c r="B598" s="116" t="s">
        <v>92</v>
      </c>
      <c r="C598" s="23" t="s">
        <v>259</v>
      </c>
      <c r="D598" s="24">
        <f>IFERROR(INDEX(Metas!$D$2:$D$109, MATCH(E598,Metas!$E$2:$E$109, 0)), "Não encontrado")</f>
        <v>189</v>
      </c>
      <c r="E598" s="23" t="s">
        <v>165</v>
      </c>
      <c r="F598" s="185" t="s">
        <v>591</v>
      </c>
      <c r="G598" s="62" t="str">
        <f t="shared" ca="1" si="40"/>
        <v>Atrasado</v>
      </c>
      <c r="H598" s="159">
        <v>46008</v>
      </c>
      <c r="I598" s="118">
        <v>0.5</v>
      </c>
      <c r="J598" s="53">
        <f t="shared" si="38"/>
        <v>2.976</v>
      </c>
      <c r="K598" s="25">
        <v>45992</v>
      </c>
      <c r="L598" s="25">
        <v>46022</v>
      </c>
      <c r="M598" s="26">
        <f t="shared" si="41"/>
        <v>31</v>
      </c>
      <c r="N598" s="69">
        <f>IFERROR(INDEX(Tabela3[ID_Responsavel], MATCH(O598,Tabela3[[Responsáveis ]], 0)), "Não encontrado")</f>
        <v>28</v>
      </c>
      <c r="O598" s="184" t="s">
        <v>186</v>
      </c>
      <c r="P598" s="187" t="s">
        <v>48</v>
      </c>
      <c r="Q598" s="27" t="s">
        <v>794</v>
      </c>
    </row>
  </sheetData>
  <sheetProtection sheet="1" objects="1" scenarios="1" autoFilter="0"/>
  <protectedRanges>
    <protectedRange sqref="H1:I1048576" name="Range1"/>
    <protectedRange sqref="Q1:Q1048576" name="Range2"/>
  </protectedRange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3783-8D6D-42F7-AD8B-33D7FD4F228B}">
  <dimension ref="A1:B28"/>
  <sheetViews>
    <sheetView tabSelected="1" workbookViewId="0"/>
  </sheetViews>
  <sheetFormatPr defaultRowHeight="15"/>
  <cols>
    <col min="1" max="1" width="36.5703125" bestFit="1" customWidth="1"/>
    <col min="2" max="2" width="17.85546875" bestFit="1" customWidth="1"/>
  </cols>
  <sheetData>
    <row r="1" spans="1:2">
      <c r="A1" s="15" t="s">
        <v>10</v>
      </c>
      <c r="B1" s="15" t="s">
        <v>795</v>
      </c>
    </row>
    <row r="2" spans="1:2">
      <c r="A2" s="14">
        <v>1</v>
      </c>
      <c r="B2" s="14" t="s">
        <v>69</v>
      </c>
    </row>
    <row r="3" spans="1:2">
      <c r="A3" s="14">
        <v>2</v>
      </c>
      <c r="B3" s="14" t="s">
        <v>122</v>
      </c>
    </row>
    <row r="4" spans="1:2">
      <c r="A4" s="14">
        <v>3</v>
      </c>
      <c r="B4" s="14" t="s">
        <v>30</v>
      </c>
    </row>
    <row r="5" spans="1:2">
      <c r="A5" s="14">
        <v>4</v>
      </c>
      <c r="B5" s="14" t="s">
        <v>124</v>
      </c>
    </row>
    <row r="6" spans="1:2">
      <c r="A6" s="14">
        <v>5</v>
      </c>
      <c r="B6" s="14" t="s">
        <v>167</v>
      </c>
    </row>
    <row r="7" spans="1:2">
      <c r="A7" s="14">
        <v>6</v>
      </c>
      <c r="B7" s="14" t="s">
        <v>131</v>
      </c>
    </row>
    <row r="8" spans="1:2">
      <c r="A8" s="14">
        <v>7</v>
      </c>
      <c r="B8" s="14" t="s">
        <v>57</v>
      </c>
    </row>
    <row r="9" spans="1:2">
      <c r="A9" s="14">
        <v>8</v>
      </c>
      <c r="B9" s="14" t="s">
        <v>94</v>
      </c>
    </row>
    <row r="10" spans="1:2">
      <c r="A10" s="14">
        <v>9</v>
      </c>
      <c r="B10" s="14" t="s">
        <v>136</v>
      </c>
    </row>
    <row r="11" spans="1:2">
      <c r="A11" s="14">
        <v>10</v>
      </c>
      <c r="B11" s="14" t="s">
        <v>115</v>
      </c>
    </row>
    <row r="12" spans="1:2">
      <c r="A12" s="14">
        <v>11</v>
      </c>
      <c r="B12" s="14" t="s">
        <v>149</v>
      </c>
    </row>
    <row r="13" spans="1:2">
      <c r="A13" s="14">
        <v>12</v>
      </c>
      <c r="B13" s="14" t="s">
        <v>796</v>
      </c>
    </row>
    <row r="14" spans="1:2">
      <c r="A14" s="14">
        <v>13</v>
      </c>
      <c r="B14" s="14" t="s">
        <v>77</v>
      </c>
    </row>
    <row r="15" spans="1:2">
      <c r="A15" s="14">
        <v>14</v>
      </c>
      <c r="B15" s="14" t="s">
        <v>108</v>
      </c>
    </row>
    <row r="16" spans="1:2">
      <c r="A16" s="14">
        <v>15</v>
      </c>
      <c r="B16" s="14" t="s">
        <v>154</v>
      </c>
    </row>
    <row r="17" spans="1:2">
      <c r="A17" s="14">
        <v>16</v>
      </c>
      <c r="B17" s="14" t="s">
        <v>158</v>
      </c>
    </row>
    <row r="18" spans="1:2">
      <c r="A18" s="14">
        <v>17</v>
      </c>
      <c r="B18" s="14" t="s">
        <v>112</v>
      </c>
    </row>
    <row r="19" spans="1:2">
      <c r="A19" s="14">
        <v>19</v>
      </c>
      <c r="B19" s="14" t="s">
        <v>139</v>
      </c>
    </row>
    <row r="20" spans="1:2">
      <c r="A20" s="14">
        <v>20</v>
      </c>
      <c r="B20" s="14" t="s">
        <v>38</v>
      </c>
    </row>
    <row r="21" spans="1:2">
      <c r="A21" s="14">
        <v>21</v>
      </c>
      <c r="B21" s="14" t="s">
        <v>142</v>
      </c>
    </row>
    <row r="22" spans="1:2">
      <c r="A22" s="14">
        <v>22</v>
      </c>
      <c r="B22" s="14" t="s">
        <v>88</v>
      </c>
    </row>
    <row r="23" spans="1:2">
      <c r="A23" s="14">
        <v>23</v>
      </c>
      <c r="B23" s="14" t="s">
        <v>105</v>
      </c>
    </row>
    <row r="24" spans="1:2">
      <c r="A24" s="14">
        <v>24</v>
      </c>
      <c r="B24" s="14" t="s">
        <v>47</v>
      </c>
    </row>
    <row r="25" spans="1:2">
      <c r="A25" s="14">
        <v>25</v>
      </c>
      <c r="B25" s="14" t="s">
        <v>18</v>
      </c>
    </row>
    <row r="26" spans="1:2">
      <c r="A26" s="14">
        <v>26</v>
      </c>
      <c r="B26" s="14" t="s">
        <v>101</v>
      </c>
    </row>
    <row r="27" spans="1:2">
      <c r="A27" s="14">
        <v>27</v>
      </c>
      <c r="B27" s="14" t="s">
        <v>174</v>
      </c>
    </row>
    <row r="28" spans="1:2">
      <c r="A28" s="14">
        <v>28</v>
      </c>
      <c r="B28" s="178" t="s">
        <v>186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C35F-54CA-48B3-AAD7-1D51FB409C99}">
  <dimension ref="A1:B6"/>
  <sheetViews>
    <sheetView workbookViewId="0">
      <selection activeCell="F13" sqref="F13"/>
    </sheetView>
  </sheetViews>
  <sheetFormatPr defaultRowHeight="15"/>
  <cols>
    <col min="1" max="1" width="10" bestFit="1" customWidth="1"/>
    <col min="2" max="2" width="25.42578125" bestFit="1" customWidth="1"/>
  </cols>
  <sheetData>
    <row r="1" spans="1:2">
      <c r="A1" s="13" t="s">
        <v>0</v>
      </c>
      <c r="B1" s="13" t="s">
        <v>797</v>
      </c>
    </row>
    <row r="2" spans="1:2">
      <c r="A2" s="11">
        <v>1000</v>
      </c>
      <c r="B2" s="11" t="s">
        <v>54</v>
      </c>
    </row>
    <row r="3" spans="1:2">
      <c r="A3" s="12">
        <v>1001</v>
      </c>
      <c r="B3" s="12" t="s">
        <v>66</v>
      </c>
    </row>
    <row r="4" spans="1:2">
      <c r="A4" s="11">
        <v>1002</v>
      </c>
      <c r="B4" s="11" t="s">
        <v>79</v>
      </c>
    </row>
    <row r="5" spans="1:2">
      <c r="A5" s="12">
        <v>1003</v>
      </c>
      <c r="B5" s="12" t="s">
        <v>92</v>
      </c>
    </row>
    <row r="6" spans="1:2">
      <c r="A6" s="11">
        <v>1004</v>
      </c>
      <c r="B6" s="11"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37fc15c-34e0-4a3d-9cf4-bffd55852940" xsi:nil="true"/>
    <lcf76f155ced4ddcb4097134ff3c332f xmlns="d9283015-57e3-495a-955e-3b5c091e2f0c">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d9283015-57e3-495a-955e-3b5c091e2f0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C1FC85F4A524A4C96644B136EA9F8E2" ma:contentTypeVersion="17" ma:contentTypeDescription="Crie um novo documento." ma:contentTypeScope="" ma:versionID="993f06afc7949739fdbbb6fe9b3331ef">
  <xsd:schema xmlns:xsd="http://www.w3.org/2001/XMLSchema" xmlns:xs="http://www.w3.org/2001/XMLSchema" xmlns:p="http://schemas.microsoft.com/office/2006/metadata/properties" xmlns:ns1="http://schemas.microsoft.com/sharepoint/v3" xmlns:ns2="d9283015-57e3-495a-955e-3b5c091e2f0c" xmlns:ns3="637fc15c-34e0-4a3d-9cf4-bffd55852940" targetNamespace="http://schemas.microsoft.com/office/2006/metadata/properties" ma:root="true" ma:fieldsID="ccb0918d8d7d7110d002cba47a060187" ns1:_="" ns2:_="" ns3:_="">
    <xsd:import namespace="http://schemas.microsoft.com/sharepoint/v3"/>
    <xsd:import namespace="d9283015-57e3-495a-955e-3b5c091e2f0c"/>
    <xsd:import namespace="637fc15c-34e0-4a3d-9cf4-bffd558529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1:_ip_UnifiedCompliancePolicyProperties" minOccurs="0"/>
                <xsd:element ref="ns1:_ip_UnifiedCompliancePolicyUIAc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Propriedades da Política de Conformidade Unificada" ma:hidden="true" ma:internalName="_ip_UnifiedCompliancePolicyProperties">
      <xsd:simpleType>
        <xsd:restriction base="dms:Note"/>
      </xsd:simpleType>
    </xsd:element>
    <xsd:element name="_ip_UnifiedCompliancePolicyUIAction" ma:index="22"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83015-57e3-495a-955e-3b5c091e2f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f26a9a2b-0af0-4dc3-8358-51308f12c4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Flow_SignoffStatus" ma:index="24" nillable="true" ma:displayName="Status de liberação"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7fc15c-34e0-4a3d-9cf4-bffd5585294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8265770-b1c0-4408-9a7f-b692a53b428b}" ma:internalName="TaxCatchAll" ma:showField="CatchAllData" ma:web="637fc15c-34e0-4a3d-9cf4-bffd558529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970FFC-266A-4730-9339-D10C0AA87FD2}"/>
</file>

<file path=customXml/itemProps2.xml><?xml version="1.0" encoding="utf-8"?>
<ds:datastoreItem xmlns:ds="http://schemas.openxmlformats.org/officeDocument/2006/customXml" ds:itemID="{9CE9DCC6-F7FF-480E-A875-2D12041343BA}"/>
</file>

<file path=customXml/itemProps3.xml><?xml version="1.0" encoding="utf-8"?>
<ds:datastoreItem xmlns:ds="http://schemas.openxmlformats.org/officeDocument/2006/customXml" ds:itemID="{0BABFD50-9EAC-4CD4-A6EE-ED512949AF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Bolotari, Nelson (SVPM)</dc:creator>
  <cp:keywords/>
  <dc:description/>
  <cp:lastModifiedBy/>
  <cp:revision/>
  <dcterms:created xsi:type="dcterms:W3CDTF">2024-12-22T13:01:12Z</dcterms:created>
  <dcterms:modified xsi:type="dcterms:W3CDTF">2026-02-06T15:52:49Z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0x0101001C1FC85F4A524A4C96644B136EA9F8E2</vt:lpwstr>
  </property>
  <property fmtid="{D5CDD505-2E9C-101B-9397-08002B2CF9AE}" pid="3" name="MediaServiceImageTags">
    <vt:lpwstr/>
  </property>
</Properties>
</file>